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irtacat-my.sharepoint.com/personal/angel_avadi_irta_cat/Documents/Documents/_Proyectos/ESPAC/"/>
    </mc:Choice>
  </mc:AlternateContent>
  <xr:revisionPtr revIDLastSave="28" documentId="8_{34F87CE6-7174-45FC-9EBB-0631435632F0}" xr6:coauthVersionLast="47" xr6:coauthVersionMax="47" xr10:uidLastSave="{FF7F4093-21B4-4017-AA99-C9DB990B3191}"/>
  <bookViews>
    <workbookView xWindow="-120" yWindow="-120" windowWidth="29040" windowHeight="15720" xr2:uid="{00000000-000D-0000-FFFF-FFFF00000000}"/>
  </bookViews>
  <sheets>
    <sheet name="MARIGO_LCA_all" sheetId="1" r:id="rId1"/>
    <sheet name="Sheet2" sheetId="5" r:id="rId2"/>
    <sheet name="Sheet1" sheetId="4" r:id="rId3"/>
    <sheet name="HM_CattleManure" sheetId="2" r:id="rId4"/>
    <sheet name="lists" sheetId="3" r:id="rId5"/>
  </sheets>
  <definedNames>
    <definedName name="_xlnm._FilterDatabase" localSheetId="0" hidden="1">MARIGO_LCA_all!$B$1:$CS$7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" i="1" l="1"/>
  <c r="BB3" i="1" l="1"/>
  <c r="BB4" i="1"/>
  <c r="BB5" i="1"/>
  <c r="BB6" i="1"/>
  <c r="BB7" i="1"/>
  <c r="J7" i="2"/>
  <c r="P7" i="2" s="1"/>
  <c r="J8" i="2"/>
  <c r="J9" i="2"/>
  <c r="J18" i="2" s="1"/>
  <c r="J10" i="2"/>
  <c r="J11" i="2"/>
  <c r="J12" i="2"/>
  <c r="P12" i="2" s="1"/>
  <c r="J14" i="2"/>
  <c r="P14" i="2" s="1"/>
  <c r="J15" i="2"/>
  <c r="P15" i="2" s="1"/>
  <c r="J16" i="2"/>
  <c r="P16" i="2" s="1"/>
  <c r="J6" i="2"/>
  <c r="O18" i="2"/>
  <c r="N18" i="2"/>
  <c r="L18" i="2"/>
  <c r="C18" i="2"/>
  <c r="D18" i="2"/>
  <c r="E18" i="2"/>
  <c r="F18" i="2"/>
  <c r="G18" i="2"/>
  <c r="B18" i="2"/>
  <c r="T12" i="2" l="1"/>
  <c r="P6" i="2"/>
  <c r="T6" i="2" s="1"/>
  <c r="P8" i="2"/>
  <c r="T8" i="2" s="1"/>
  <c r="P9" i="2"/>
  <c r="T9" i="2" s="1"/>
  <c r="T16" i="2"/>
  <c r="T7" i="2"/>
  <c r="P10" i="2"/>
  <c r="T10" i="2" s="1"/>
  <c r="T15" i="2"/>
  <c r="P18" i="2"/>
  <c r="T18" i="2" s="1"/>
  <c r="P11" i="2"/>
  <c r="T11" i="2" s="1"/>
  <c r="T14" i="2"/>
</calcChain>
</file>

<file path=xl/sharedStrings.xml><?xml version="1.0" encoding="utf-8"?>
<sst xmlns="http://schemas.openxmlformats.org/spreadsheetml/2006/main" count="918" uniqueCount="454">
  <si>
    <t>count</t>
  </si>
  <si>
    <t>Experiment_code</t>
  </si>
  <si>
    <t>SimaPro_process_name</t>
  </si>
  <si>
    <t>Custom_classification_3</t>
  </si>
  <si>
    <t>Crop</t>
  </si>
  <si>
    <t>Seeding_date</t>
  </si>
  <si>
    <t>Harvest_date</t>
  </si>
  <si>
    <t>Cycle_length_months</t>
  </si>
  <si>
    <t>Area_ha</t>
  </si>
  <si>
    <t>Yield_kgha</t>
  </si>
  <si>
    <t>Straw_kgha</t>
  </si>
  <si>
    <t>Export_straw_percent</t>
  </si>
  <si>
    <t>Irrig_m3</t>
  </si>
  <si>
    <t>Water_source</t>
  </si>
  <si>
    <t>Irrig_equipment</t>
  </si>
  <si>
    <t>Packaging_type1</t>
  </si>
  <si>
    <t>Packaging_type1_kgha</t>
  </si>
  <si>
    <t>Packaging_type2</t>
  </si>
  <si>
    <t>Packaging_type2_kgha</t>
  </si>
  <si>
    <t>Fuel_type</t>
  </si>
  <si>
    <t>Fuel_unit</t>
  </si>
  <si>
    <t>Fuel_ha</t>
  </si>
  <si>
    <t>Urea_kgha</t>
  </si>
  <si>
    <t>NPK_kgha</t>
  </si>
  <si>
    <t>NPK_N_percent</t>
  </si>
  <si>
    <t>NPK_P_percent</t>
  </si>
  <si>
    <t>NPK_K_percent</t>
  </si>
  <si>
    <t>MAP_kgha</t>
  </si>
  <si>
    <t>UAN_kgha</t>
  </si>
  <si>
    <t>AN_kgha</t>
  </si>
  <si>
    <t>AP_kgha</t>
  </si>
  <si>
    <t>AS_kgha</t>
  </si>
  <si>
    <t>CAN_kgha</t>
  </si>
  <si>
    <t>Total_fert_min_kgha</t>
  </si>
  <si>
    <t>Manure_kgha</t>
  </si>
  <si>
    <t>Manure_type</t>
  </si>
  <si>
    <t>Compost_kg_ha</t>
  </si>
  <si>
    <t>Digestate_kg_ha</t>
  </si>
  <si>
    <t>Total_fert_org_kgha</t>
  </si>
  <si>
    <t>N_tot</t>
  </si>
  <si>
    <t>N_min</t>
  </si>
  <si>
    <t>N_orga</t>
  </si>
  <si>
    <t>P_tot</t>
  </si>
  <si>
    <t>P_min</t>
  </si>
  <si>
    <t>P_orga</t>
  </si>
  <si>
    <t>K_tot</t>
  </si>
  <si>
    <t>K_min</t>
  </si>
  <si>
    <t>K_orga</t>
  </si>
  <si>
    <t>Insecticide_kgha</t>
  </si>
  <si>
    <t>Herbicide_kgha</t>
  </si>
  <si>
    <t>Fungicide_kgha</t>
  </si>
  <si>
    <t>Acaricide_kgha</t>
  </si>
  <si>
    <t>Biocide_NE_kgha</t>
  </si>
  <si>
    <t>Total_pesticides_kgha</t>
  </si>
  <si>
    <t>Seed_kgha</t>
  </si>
  <si>
    <t>Equipement_phyto</t>
  </si>
  <si>
    <t>Molecule_name_1</t>
  </si>
  <si>
    <t>Dose_kgha_1</t>
  </si>
  <si>
    <t>Phase_application_1</t>
  </si>
  <si>
    <t>Molecule_name_2</t>
  </si>
  <si>
    <t>Dose_kgha_2</t>
  </si>
  <si>
    <t>Phase_application_2</t>
  </si>
  <si>
    <t>Molecule_name_3</t>
  </si>
  <si>
    <t>Dose_kgha_3</t>
  </si>
  <si>
    <t>Phase_application_3</t>
  </si>
  <si>
    <t>Molecule_name_4</t>
  </si>
  <si>
    <t>Dose_kgha_4</t>
  </si>
  <si>
    <t>Phase_application_4</t>
  </si>
  <si>
    <t>Molecule_name_5</t>
  </si>
  <si>
    <t>Dose_kgha_5</t>
  </si>
  <si>
    <t>Phase_application_5</t>
  </si>
  <si>
    <t>Molecule_name_6</t>
  </si>
  <si>
    <t>Dose_kgha_6</t>
  </si>
  <si>
    <t>Phase_application_6</t>
  </si>
  <si>
    <t>Molecule_name_7</t>
  </si>
  <si>
    <t>Dose_kgha_7</t>
  </si>
  <si>
    <t>Phase_application_7</t>
  </si>
  <si>
    <t>Molecule_name_8</t>
  </si>
  <si>
    <t>Dose_kgha_8</t>
  </si>
  <si>
    <t>Phase_application_8</t>
  </si>
  <si>
    <t>Molecule_name_9</t>
  </si>
  <si>
    <t>Dose_kgha_9</t>
  </si>
  <si>
    <t>Phase_application_9</t>
  </si>
  <si>
    <t>Transport_1</t>
  </si>
  <si>
    <t>Transport_type_1</t>
  </si>
  <si>
    <t>Transport_tkm_1</t>
  </si>
  <si>
    <t>Transport_2</t>
  </si>
  <si>
    <t>Transport_type_2</t>
  </si>
  <si>
    <t>Transport_tkm_2</t>
  </si>
  <si>
    <t>Transport_3</t>
  </si>
  <si>
    <t>Transport_type_3</t>
  </si>
  <si>
    <t>Transport_tkm_3</t>
  </si>
  <si>
    <t>Transport_4</t>
  </si>
  <si>
    <t>Transport_type_4</t>
  </si>
  <si>
    <t>Transport_tkm_4</t>
  </si>
  <si>
    <t>Transport_tkm</t>
  </si>
  <si>
    <t>Transport_type</t>
  </si>
  <si>
    <t>Barley_2006_AgrEco2_6</t>
  </si>
  <si>
    <t>cereal</t>
  </si>
  <si>
    <t>PP</t>
  </si>
  <si>
    <t>Kraft</t>
  </si>
  <si>
    <t>Diesel B</t>
  </si>
  <si>
    <t>L</t>
  </si>
  <si>
    <t>Cattle, solid</t>
  </si>
  <si>
    <t>Hydraulic sprayer</t>
  </si>
  <si>
    <t>2-[4-(2,4-Dichlorophenoxy)phenoxy]propanoic acid</t>
  </si>
  <si>
    <t>Leaf development</t>
  </si>
  <si>
    <t>2-Methyl-4-chlorophenoxyacetic acid</t>
  </si>
  <si>
    <t>Chlorothalonil</t>
  </si>
  <si>
    <t>Seed</t>
  </si>
  <si>
    <t>Truck</t>
  </si>
  <si>
    <t>Cattle_manure</t>
  </si>
  <si>
    <t>Tractor</t>
  </si>
  <si>
    <t>Mineral_fert</t>
  </si>
  <si>
    <t>Phytosanitary</t>
  </si>
  <si>
    <t>Barley_2006_AgrEco1</t>
  </si>
  <si>
    <t>15/11/2006</t>
  </si>
  <si>
    <t>15/06/2007</t>
  </si>
  <si>
    <t>Barley_2006_AgrEco2</t>
  </si>
  <si>
    <t>Barley_2006_AgrEco3</t>
  </si>
  <si>
    <t>Barley_2006_AgrEco4</t>
  </si>
  <si>
    <t>Barley_2006_AgrEco5</t>
  </si>
  <si>
    <t>Barley_2006_Cnt</t>
  </si>
  <si>
    <t>Barley_2006_Min1</t>
  </si>
  <si>
    <t>Barley_2006_Min2</t>
  </si>
  <si>
    <t>Barley_2006_Min3</t>
  </si>
  <si>
    <t>Barley_2006_Min4</t>
  </si>
  <si>
    <t>Barley_2006_Org</t>
  </si>
  <si>
    <t>Wheat_2007_AgrEco1</t>
  </si>
  <si>
    <t>Wheat_2007_AgrEco2</t>
  </si>
  <si>
    <t>Wheat_2007_AgrEco3</t>
  </si>
  <si>
    <t>Wheat_2007_AgrEco4</t>
  </si>
  <si>
    <t>Wheat_2007_AgrEco5</t>
  </si>
  <si>
    <t>Wheat_2007_AgrEco6</t>
  </si>
  <si>
    <t>Wheat_2007_AgrEco7</t>
  </si>
  <si>
    <t>Wheat_2007_AgrEco8</t>
  </si>
  <si>
    <t>Wheat_2007_Cnt</t>
  </si>
  <si>
    <t>Wheat_2007_Min1</t>
  </si>
  <si>
    <t>Wheat_2007_Min2</t>
  </si>
  <si>
    <t>Wheat_2007_Min3</t>
  </si>
  <si>
    <t>Wheat_2007_Min4</t>
  </si>
  <si>
    <t>Wheat_2007_Org</t>
  </si>
  <si>
    <t>Barley_2008_AgrEco1</t>
  </si>
  <si>
    <t>Barley_2008_AgrEco2</t>
  </si>
  <si>
    <t>Barley_2008_AgrEco3</t>
  </si>
  <si>
    <t>Barley_2008_AgrEco4</t>
  </si>
  <si>
    <t>Barley_2008_AgrEco5</t>
  </si>
  <si>
    <t>Barley_2008_AgrEco6</t>
  </si>
  <si>
    <t>Barley_2008_AgrEco7</t>
  </si>
  <si>
    <t>Barley_2008_AgrEco8</t>
  </si>
  <si>
    <t>Barley_2008_Cnt</t>
  </si>
  <si>
    <t>Barley_2008_Min1</t>
  </si>
  <si>
    <t>Barley_2008_Min2</t>
  </si>
  <si>
    <t>Barley_2008_Min3</t>
  </si>
  <si>
    <t>Barley_2008_Min4</t>
  </si>
  <si>
    <t>Barley_2008_Org</t>
  </si>
  <si>
    <t>Wheat_2009_AgrEco1</t>
  </si>
  <si>
    <t>Wheat_2009_AgrEco2</t>
  </si>
  <si>
    <t>Wheat_2009_AgrEco3</t>
  </si>
  <si>
    <t>Wheat_2009_AgrEco4</t>
  </si>
  <si>
    <t>Wheat_2009_AgrEco5</t>
  </si>
  <si>
    <t>Wheat_2009_AgrEco6</t>
  </si>
  <si>
    <t>Wheat_2009_AgrEco7</t>
  </si>
  <si>
    <t>Wheat_2009_AgrEco8</t>
  </si>
  <si>
    <t>Wheat_2009_Cnt</t>
  </si>
  <si>
    <t>Wheat_2009_Min1</t>
  </si>
  <si>
    <t>Wheat_2009_Min2</t>
  </si>
  <si>
    <t>Wheat_2009_Min3</t>
  </si>
  <si>
    <t>Wheat_2009_Min4</t>
  </si>
  <si>
    <t>Wheat_2009_Org</t>
  </si>
  <si>
    <t>Wheat_2010_AgrEco1</t>
  </si>
  <si>
    <t>Wheat_2010_AgrEco2</t>
  </si>
  <si>
    <t>Wheat_2010_AgrEco3</t>
  </si>
  <si>
    <t>Wheat_2010_AgrEco4</t>
  </si>
  <si>
    <t>Wheat_2010_AgrEco5</t>
  </si>
  <si>
    <t>Wheat_2010_AgrEco6</t>
  </si>
  <si>
    <t>Wheat_2010_AgrEco7</t>
  </si>
  <si>
    <t>Wheat_2010_AgrEco8</t>
  </si>
  <si>
    <t>Wheat_2010_Cnt</t>
  </si>
  <si>
    <t>Wheat_2010_Min1</t>
  </si>
  <si>
    <t>Wheat_2010_Min2</t>
  </si>
  <si>
    <t>Wheat_2010_Min3</t>
  </si>
  <si>
    <t>Wheat_2010_Min4</t>
  </si>
  <si>
    <t>Wheat_2010_Org</t>
  </si>
  <si>
    <t>Barley_2011_AgrEco1</t>
  </si>
  <si>
    <t>Barley_2011_AgrEco2</t>
  </si>
  <si>
    <t>Barley_2011_AgrEco3</t>
  </si>
  <si>
    <t>Barley_2011_AgrEco4</t>
  </si>
  <si>
    <t>Barley_2011_AgrEco5</t>
  </si>
  <si>
    <t>Barley_2011_AgrEco6</t>
  </si>
  <si>
    <t>Barley_2011_AgrEco7</t>
  </si>
  <si>
    <t>Barley_2011_AgrEco8</t>
  </si>
  <si>
    <t>Barley_2011_Cnt</t>
  </si>
  <si>
    <t>Barley_2011_Min1</t>
  </si>
  <si>
    <t>Barley_2011_Min2</t>
  </si>
  <si>
    <t>Barley_2011_Min3</t>
  </si>
  <si>
    <t>Barley_2011_Min4</t>
  </si>
  <si>
    <t>Barley_2011_Org</t>
  </si>
  <si>
    <t>Wheat_2012_AgrEco1</t>
  </si>
  <si>
    <t>Wheat_2012_AgrEco2</t>
  </si>
  <si>
    <t>Wheat_2012_AgrEco3</t>
  </si>
  <si>
    <t>Wheat_2012_AgrEco4</t>
  </si>
  <si>
    <t>Wheat_2012_AgrEco5</t>
  </si>
  <si>
    <t>Wheat_2012_AgrEco6</t>
  </si>
  <si>
    <t>Wheat_2012_AgrEco7</t>
  </si>
  <si>
    <t>Wheat_2012_AgrEco8</t>
  </si>
  <si>
    <t>Wheat_2012_Cnt</t>
  </si>
  <si>
    <t>Wheat_2012_Min1</t>
  </si>
  <si>
    <t>Wheat_2012_Min2</t>
  </si>
  <si>
    <t>Wheat_2012_Min3</t>
  </si>
  <si>
    <t>Wheat_2012_Min4</t>
  </si>
  <si>
    <t>Wheat_2012_Org</t>
  </si>
  <si>
    <t>Barley_2013_AgrEco1</t>
  </si>
  <si>
    <t>Barley_2013_AgrEco2</t>
  </si>
  <si>
    <t>Barley_2013_AgrEco3</t>
  </si>
  <si>
    <t>Barley_2013_AgrEco4</t>
  </si>
  <si>
    <t>Barley_2013_AgrEco5</t>
  </si>
  <si>
    <t>Barley_2013_AgrEco6</t>
  </si>
  <si>
    <t>Barley_2013_AgrEco7</t>
  </si>
  <si>
    <t>Barley_2013_AgrEco8</t>
  </si>
  <si>
    <t>Barley_2013_Cnt</t>
  </si>
  <si>
    <t>Barley_2013_Min1</t>
  </si>
  <si>
    <t>Barley_2013_Min2</t>
  </si>
  <si>
    <t>Barley_2013_Min3</t>
  </si>
  <si>
    <t>Barley_2013_Min4</t>
  </si>
  <si>
    <t>Barley_2013_Org</t>
  </si>
  <si>
    <t>Colza_2014_AgrEco1</t>
  </si>
  <si>
    <t>oilseed</t>
  </si>
  <si>
    <t>Colza_2014_AgrEco2</t>
  </si>
  <si>
    <t>Colza_2014_Cnt</t>
  </si>
  <si>
    <t>Colza_2014_Min1</t>
  </si>
  <si>
    <t>Colza_2014_Min2</t>
  </si>
  <si>
    <t>Colza_2014_Org</t>
  </si>
  <si>
    <t>Wheat_2014_AgrEco1</t>
  </si>
  <si>
    <t>Wheat_2014_AgrEco2</t>
  </si>
  <si>
    <t>Wheat_2014_Cnt</t>
  </si>
  <si>
    <t>Wheat_2014_Min1</t>
  </si>
  <si>
    <t>Wheat_2014_Min2</t>
  </si>
  <si>
    <t>Wheat_2014_Org</t>
  </si>
  <si>
    <t>Wheat_2015_Cnt_1</t>
  </si>
  <si>
    <t>Wheat_2015_Min1_1</t>
  </si>
  <si>
    <t>Wheat_2015_Min_4</t>
  </si>
  <si>
    <t>Wheat_2015_Min2_2</t>
  </si>
  <si>
    <t>Wheat_2015_Min3_3</t>
  </si>
  <si>
    <t>Wheat_2015_Min_5</t>
  </si>
  <si>
    <t>Wheat_2015_Org_1</t>
  </si>
  <si>
    <t>Wheat_2015_AgrEco_1</t>
  </si>
  <si>
    <t>Wheat_2015_AgrEco</t>
  </si>
  <si>
    <t>Wheat_2015_Cnt</t>
  </si>
  <si>
    <t>Wheat_2015_Min1</t>
  </si>
  <si>
    <t>Wheat_2015_Min2</t>
  </si>
  <si>
    <t>Wheat_2015_Min3</t>
  </si>
  <si>
    <t>Wheat_2015_Org</t>
  </si>
  <si>
    <t>Wheat_2016_Cnt_1</t>
  </si>
  <si>
    <t>Wheat_2016_Min1_1</t>
  </si>
  <si>
    <t>Wheat_2016_Min1_4</t>
  </si>
  <si>
    <t>Wheat_2016_Min2_2</t>
  </si>
  <si>
    <t>Wheat_2016_Min3_3</t>
  </si>
  <si>
    <t>Wheat_2016_Org_1</t>
  </si>
  <si>
    <t>Wheat_2016_AgrEco1_1</t>
  </si>
  <si>
    <t>Wheat_2016_AgrEco1</t>
  </si>
  <si>
    <t>Wheat_2016_AgrEco2</t>
  </si>
  <si>
    <t>Wheat_2016_Cnt</t>
  </si>
  <si>
    <t>Wheat_2016_Min1</t>
  </si>
  <si>
    <t>Wheat_2016_Min2</t>
  </si>
  <si>
    <t>Wheat_2016_Min3</t>
  </si>
  <si>
    <t>Wheat_2016_Org</t>
  </si>
  <si>
    <t>Wheat_2017_Cnt_1</t>
  </si>
  <si>
    <t>Wheat_2017_Min1_1</t>
  </si>
  <si>
    <t>Wheat_2017_Min1_4</t>
  </si>
  <si>
    <t>Wheat_2017_Min2_2</t>
  </si>
  <si>
    <t>Wheat_2017_Min3_3</t>
  </si>
  <si>
    <t>Wheat_2017_Org_1</t>
  </si>
  <si>
    <t>Wheat_2017_AgrEco1_2</t>
  </si>
  <si>
    <t>Wheat_2017_AgrEco2_2</t>
  </si>
  <si>
    <t>Wheat_2017_AgrEco1</t>
  </si>
  <si>
    <t>Wheat_2017_AgrEco2</t>
  </si>
  <si>
    <t>Wheat_2017_Cnt</t>
  </si>
  <si>
    <t>Wheat_2017_Min1</t>
  </si>
  <si>
    <t>Wheat_2017_Min2</t>
  </si>
  <si>
    <t>Wheat_2017_Min3</t>
  </si>
  <si>
    <t>Wheat_2017_Org</t>
  </si>
  <si>
    <t>Barley_2018_Cnt_1</t>
  </si>
  <si>
    <t>Barley_2018_Min1_1</t>
  </si>
  <si>
    <t>Barley_2018_Min1_4</t>
  </si>
  <si>
    <t>Barley_2018_Min2_2</t>
  </si>
  <si>
    <t>Barley_2018_Min3_3</t>
  </si>
  <si>
    <t>Barley_2018_Org_1</t>
  </si>
  <si>
    <t>Barley_2018_AgrEco1_1</t>
  </si>
  <si>
    <t>Barley_2018_AgrEco2_2</t>
  </si>
  <si>
    <t>Barley_2018_AgrEco1</t>
  </si>
  <si>
    <t>Barley_2018_AgrEco2</t>
  </si>
  <si>
    <t>Barley_2018_Cnt</t>
  </si>
  <si>
    <t>Barley_2018_Min1</t>
  </si>
  <si>
    <t>Barley_2018_Min2</t>
  </si>
  <si>
    <t>Barley_2018_Min3</t>
  </si>
  <si>
    <t>Barley_2018_Org</t>
  </si>
  <si>
    <t>Wheat_2019_Cnt_1</t>
  </si>
  <si>
    <t>Wheat_2019_Min1_1</t>
  </si>
  <si>
    <t>Wheat_2019_Min1_4</t>
  </si>
  <si>
    <t>Wheat_2019_Min2_2</t>
  </si>
  <si>
    <t>Wheat_2019_Min3_3</t>
  </si>
  <si>
    <t>Wheat_2019_Org_1</t>
  </si>
  <si>
    <t>Wheat_2019_AgrEco1_1</t>
  </si>
  <si>
    <t>Wheat_2019_AgrEco2_1</t>
  </si>
  <si>
    <t>Wheat_2019_AgrEco1</t>
  </si>
  <si>
    <t>Wheat_2019_AgrEco2</t>
  </si>
  <si>
    <t>Wheat_2019_Cnt</t>
  </si>
  <si>
    <t>Wheat_2019_Min1</t>
  </si>
  <si>
    <t>Wheat_2019_Min2</t>
  </si>
  <si>
    <t>Wheat_2019_Min3</t>
  </si>
  <si>
    <t>Wheat_2019_Org</t>
  </si>
  <si>
    <t>Barley_2020_Cnt_1</t>
  </si>
  <si>
    <t>Barley_2020_Min1_1</t>
  </si>
  <si>
    <t>Barley_2020_Min1_4</t>
  </si>
  <si>
    <t>Barley_2020_Min2_2</t>
  </si>
  <si>
    <t>Barley_2020_Min3_3</t>
  </si>
  <si>
    <t>Barley_2020_Org_1</t>
  </si>
  <si>
    <t>Barley_2020_AgrEco1_1</t>
  </si>
  <si>
    <t>Barley_2020_AgrEco2_2</t>
  </si>
  <si>
    <t>Barley_2020_AgrEco1</t>
  </si>
  <si>
    <t>Barley_2020_AgrEco2</t>
  </si>
  <si>
    <t>Barley_2020_Cnt</t>
  </si>
  <si>
    <t>Barley_2020_Min1</t>
  </si>
  <si>
    <t>Barley_2020_Min2</t>
  </si>
  <si>
    <t>Barley_2020_Min3</t>
  </si>
  <si>
    <t>Barley_2020_Org</t>
  </si>
  <si>
    <t>Colza_2021_AgrEco1</t>
  </si>
  <si>
    <t>Colza_2021_AgrEco2</t>
  </si>
  <si>
    <t>Colza_2021_Cnt</t>
  </si>
  <si>
    <t>Colza_2021_Min1</t>
  </si>
  <si>
    <t>Colza_2021_Min2</t>
  </si>
  <si>
    <t>Colza_2021_Min3</t>
  </si>
  <si>
    <t>Colza_2021_Min4</t>
  </si>
  <si>
    <t>Colza_2021_Org</t>
  </si>
  <si>
    <t>Wheat_2021_AgrEco1</t>
  </si>
  <si>
    <t>Wheat_2021_AgrEco2</t>
  </si>
  <si>
    <t>Wheat_2021_Cnt</t>
  </si>
  <si>
    <t>Wheat_2021_Min1</t>
  </si>
  <si>
    <t>Wheat_2021_Min2</t>
  </si>
  <si>
    <t>Wheat_2021_Min3</t>
  </si>
  <si>
    <t>Wheat_2021_Org</t>
  </si>
  <si>
    <t>Wheat_2022_AgrEco1</t>
  </si>
  <si>
    <t>Wheat_2022_AgrEco2</t>
  </si>
  <si>
    <t>Wheat_2022_Cnt</t>
  </si>
  <si>
    <t>Wheat_2022_Min1</t>
  </si>
  <si>
    <t>Wheat_2022_Min2</t>
  </si>
  <si>
    <t>Wheat_2022_Org</t>
  </si>
  <si>
    <t>WheatSD_2022_AgrEco1</t>
  </si>
  <si>
    <t>WheatSD_2022_AgrEco2</t>
  </si>
  <si>
    <t>WheatSD_2022_Cnt</t>
  </si>
  <si>
    <t>WheatSD_2022_Min1</t>
  </si>
  <si>
    <t>WheatSD_2022_Min2</t>
  </si>
  <si>
    <t>WheatSD_2022_Org</t>
  </si>
  <si>
    <t>Barley_2023_AgrEco1</t>
  </si>
  <si>
    <t>Barley_2023_AgrEco2</t>
  </si>
  <si>
    <t>Barley_2023_Cnt</t>
  </si>
  <si>
    <t>Barley_2023_Min1</t>
  </si>
  <si>
    <t>Barley_2023_Min2</t>
  </si>
  <si>
    <t>Barley_2023_Org</t>
  </si>
  <si>
    <t>BarleySD_2023_AgrEco1</t>
  </si>
  <si>
    <t>BarleySD_2023_AgrEco2</t>
  </si>
  <si>
    <t>BarleySD_2023_Cnt</t>
  </si>
  <si>
    <t>BarleySD_2023_Min1</t>
  </si>
  <si>
    <t>BarleySD_2023_Min2</t>
  </si>
  <si>
    <t>BarleySD_2023_Org</t>
  </si>
  <si>
    <t>Barley_2024_AgroEco1</t>
  </si>
  <si>
    <t>Barley_2024_AgroEco2</t>
  </si>
  <si>
    <t>Barley_2024_Cnt</t>
  </si>
  <si>
    <t>Barley_2024_Min1</t>
  </si>
  <si>
    <t>Barley_2024_Min2</t>
  </si>
  <si>
    <t>Barley_2024_Org</t>
  </si>
  <si>
    <t>BarleySD_2024_AgroEco1</t>
  </si>
  <si>
    <t>BarleySD_2024_AgroEco2</t>
  </si>
  <si>
    <t>BarleySD_2024_Cnt</t>
  </si>
  <si>
    <t>BarleySD_2024_Min1</t>
  </si>
  <si>
    <t>BarleySD_2024_Min2</t>
  </si>
  <si>
    <t>BarleySD_2024_Org</t>
  </si>
  <si>
    <t>Row Labels</t>
  </si>
  <si>
    <t>Count of SimaPro_process_name</t>
  </si>
  <si>
    <t>Grand Total</t>
  </si>
  <si>
    <t>Fems de MONELLS</t>
  </si>
  <si>
    <t>Paràmetres</t>
  </si>
  <si>
    <t>Resultats</t>
  </si>
  <si>
    <t>Unitats</t>
  </si>
  <si>
    <t>MITJANA Tallada</t>
  </si>
  <si>
    <t>MITJANA Monells</t>
  </si>
  <si>
    <t xml:space="preserve">MITJANA </t>
  </si>
  <si>
    <t>2016-17</t>
  </si>
  <si>
    <t>2017-18</t>
  </si>
  <si>
    <t>2018-19</t>
  </si>
  <si>
    <t>2019-20</t>
  </si>
  <si>
    <t>2020-21</t>
  </si>
  <si>
    <t>2021-22</t>
  </si>
  <si>
    <t>Previ 22-23</t>
  </si>
  <si>
    <t>2022-23</t>
  </si>
  <si>
    <t>2023-24</t>
  </si>
  <si>
    <t>2024-25</t>
  </si>
  <si>
    <t>CODI:</t>
  </si>
  <si>
    <t>FPS23-CM</t>
  </si>
  <si>
    <t>FCM-PS23</t>
  </si>
  <si>
    <t>FCM-PS24</t>
  </si>
  <si>
    <t>FCM-PS25</t>
  </si>
  <si>
    <t>pH (ext. 1:2.5 H2O)</t>
  </si>
  <si>
    <t>---</t>
  </si>
  <si>
    <t>COND.ELEC. 25ºC (ext. 1:2.5 H2O)</t>
  </si>
  <si>
    <t>dS/m</t>
  </si>
  <si>
    <t>MATÈRIA SECA 105ºC</t>
  </si>
  <si>
    <t>% s.m.f.</t>
  </si>
  <si>
    <t>MAT.ORGÀNICA (W&amp;B)</t>
  </si>
  <si>
    <t>% s.m.s.</t>
  </si>
  <si>
    <t>NITROGEN TOTAL (N)</t>
  </si>
  <si>
    <t>N ORGÀNIC (N)</t>
  </si>
  <si>
    <t>N AMONIACAL (N)</t>
  </si>
  <si>
    <t>N NÍTRIC (N)</t>
  </si>
  <si>
    <t>FOSFOR (P) (Olsen)</t>
  </si>
  <si>
    <t>POTASSI (K) (ext. ac. Amònic)</t>
  </si>
  <si>
    <t>RELACIÓ C/N</t>
  </si>
  <si>
    <r>
      <t xml:space="preserve">C orgànic  </t>
    </r>
    <r>
      <rPr>
        <sz val="10"/>
        <color rgb="FF000000"/>
        <rFont val="Arial"/>
        <family val="2"/>
      </rPr>
      <t>(C organico oxidable = MO/1.72)</t>
    </r>
  </si>
  <si>
    <t>cattle manure "fresco"</t>
  </si>
  <si>
    <t>Cd µg/g</t>
  </si>
  <si>
    <t>Cu  µg/g</t>
  </si>
  <si>
    <t>Ni µg/g</t>
  </si>
  <si>
    <t>Pb µg/g</t>
  </si>
  <si>
    <t>Zn  µg/g</t>
  </si>
  <si>
    <t>Hg  µg/g</t>
  </si>
  <si>
    <t>Cr µg/g</t>
  </si>
  <si>
    <t>(Microsoft Word - Fitxa t\350cnica 50. An\340lisi de la mat\350ria org\340nica compostada_Altres.doc)</t>
  </si>
  <si>
    <t>C_2014_0_Fem+Min_15+0-80-0</t>
  </si>
  <si>
    <t>well</t>
  </si>
  <si>
    <t>river</t>
  </si>
  <si>
    <t>lake</t>
  </si>
  <si>
    <t>fruit</t>
  </si>
  <si>
    <t>vegetable</t>
  </si>
  <si>
    <t>grass</t>
  </si>
  <si>
    <t>Cattle, liquid</t>
  </si>
  <si>
    <t>Swine, liquid</t>
  </si>
  <si>
    <t>Pultry, droppings</t>
  </si>
  <si>
    <t>Pultry, bedding</t>
  </si>
  <si>
    <t>Packaging_type</t>
  </si>
  <si>
    <t>PE</t>
  </si>
  <si>
    <t>PET</t>
  </si>
  <si>
    <t>LDPE</t>
  </si>
  <si>
    <t>Cardboard</t>
  </si>
  <si>
    <t>Phase_application</t>
  </si>
  <si>
    <t>Pre-emergence</t>
  </si>
  <si>
    <t>Leaves development</t>
  </si>
  <si>
    <t>Inflorescence</t>
  </si>
  <si>
    <t>Fruit development</t>
  </si>
  <si>
    <t>Grain development</t>
  </si>
  <si>
    <t>Senescence</t>
  </si>
  <si>
    <t>Region</t>
  </si>
  <si>
    <t>Province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</si>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</sst>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_-* #,##0.0_-;\-* #,##0.0_-;_-* &quot;-&quot;??_-;_-@_-"/>
    <numFmt numFmtId="167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9"/>
      <name val="Calibri"/>
      <family val="2"/>
      <scheme val="minor"/>
    </font>
    <font>
      <sz val="11"/>
      <color rgb="FF3C4043"/>
      <name val="Arial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CE4D6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16" fillId="0" borderId="0" xfId="0" applyFont="1"/>
    <xf numFmtId="49" fontId="16" fillId="0" borderId="0" xfId="0" applyNumberFormat="1" applyFont="1" applyAlignment="1">
      <alignment horizontal="left"/>
    </xf>
    <xf numFmtId="0" fontId="0" fillId="33" borderId="0" xfId="0" applyFill="1" applyAlignment="1">
      <alignment horizontal="left"/>
    </xf>
    <xf numFmtId="49" fontId="0" fillId="33" borderId="0" xfId="0" applyNumberFormat="1" applyFill="1" applyAlignment="1">
      <alignment horizontal="left"/>
    </xf>
    <xf numFmtId="14" fontId="0" fillId="33" borderId="0" xfId="0" applyNumberFormat="1" applyFill="1" applyAlignment="1">
      <alignment horizontal="left"/>
    </xf>
    <xf numFmtId="166" fontId="0" fillId="33" borderId="0" xfId="42" applyNumberFormat="1" applyFont="1" applyFill="1" applyAlignment="1">
      <alignment horizontal="left"/>
    </xf>
    <xf numFmtId="165" fontId="0" fillId="33" borderId="0" xfId="42" applyNumberFormat="1" applyFont="1" applyFill="1" applyAlignment="1">
      <alignment horizontal="left"/>
    </xf>
    <xf numFmtId="167" fontId="0" fillId="33" borderId="0" xfId="42" applyNumberFormat="1" applyFont="1" applyFill="1" applyAlignment="1">
      <alignment horizontal="left"/>
    </xf>
    <xf numFmtId="43" fontId="0" fillId="33" borderId="0" xfId="42" applyFont="1" applyFill="1" applyAlignment="1">
      <alignment horizontal="left"/>
    </xf>
    <xf numFmtId="43" fontId="1" fillId="33" borderId="0" xfId="42" applyFont="1" applyFill="1" applyAlignment="1">
      <alignment horizontal="left"/>
    </xf>
    <xf numFmtId="166" fontId="25" fillId="33" borderId="0" xfId="42" applyNumberFormat="1" applyFont="1" applyFill="1" applyAlignment="1">
      <alignment horizontal="left"/>
    </xf>
    <xf numFmtId="166" fontId="14" fillId="33" borderId="0" xfId="42" applyNumberFormat="1" applyFont="1" applyFill="1" applyAlignment="1">
      <alignment horizontal="left"/>
    </xf>
    <xf numFmtId="167" fontId="25" fillId="33" borderId="0" xfId="42" applyNumberFormat="1" applyFont="1" applyFill="1" applyAlignment="1">
      <alignment horizontal="left"/>
    </xf>
    <xf numFmtId="43" fontId="25" fillId="33" borderId="0" xfId="42" applyFont="1" applyFill="1" applyAlignment="1">
      <alignment horizontal="left"/>
    </xf>
    <xf numFmtId="164" fontId="25" fillId="33" borderId="0" xfId="42" applyNumberFormat="1" applyFont="1" applyFill="1" applyAlignment="1">
      <alignment horizontal="left"/>
    </xf>
    <xf numFmtId="164" fontId="0" fillId="33" borderId="0" xfId="42" applyNumberFormat="1" applyFont="1" applyFill="1" applyAlignment="1">
      <alignment horizontal="lef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vertical="center"/>
    </xf>
    <xf numFmtId="0" fontId="26" fillId="33" borderId="0" xfId="0" applyFont="1" applyFill="1" applyAlignment="1">
      <alignment horizontal="left"/>
    </xf>
    <xf numFmtId="49" fontId="1" fillId="33" borderId="0" xfId="0" applyNumberFormat="1" applyFont="1" applyFill="1" applyAlignment="1">
      <alignment horizontal="left"/>
    </xf>
    <xf numFmtId="0" fontId="20" fillId="33" borderId="0" xfId="0" applyFont="1" applyFill="1"/>
    <xf numFmtId="0" fontId="21" fillId="33" borderId="0" xfId="0" applyFont="1" applyFill="1"/>
    <xf numFmtId="0" fontId="0" fillId="33" borderId="0" xfId="0" applyFill="1"/>
    <xf numFmtId="0" fontId="21" fillId="33" borderId="13" xfId="0" applyFont="1" applyFill="1" applyBorder="1"/>
    <xf numFmtId="0" fontId="21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1" fillId="33" borderId="11" xfId="0" applyFont="1" applyFill="1" applyBorder="1"/>
    <xf numFmtId="0" fontId="21" fillId="34" borderId="0" xfId="0" applyFont="1" applyFill="1" applyAlignment="1">
      <alignment horizontal="center"/>
    </xf>
    <xf numFmtId="0" fontId="22" fillId="34" borderId="0" xfId="0" applyFont="1" applyFill="1" applyAlignment="1">
      <alignment horizontal="center" vertical="center" wrapText="1"/>
    </xf>
    <xf numFmtId="0" fontId="21" fillId="33" borderId="13" xfId="0" applyFont="1" applyFill="1" applyBorder="1" applyAlignment="1">
      <alignment horizontal="center"/>
    </xf>
    <xf numFmtId="0" fontId="21" fillId="33" borderId="0" xfId="0" applyFont="1" applyFill="1" applyAlignment="1">
      <alignment horizontal="center"/>
    </xf>
    <xf numFmtId="0" fontId="22" fillId="34" borderId="0" xfId="0" applyFont="1" applyFill="1" applyAlignment="1">
      <alignment horizontal="right" vertical="center" wrapText="1"/>
    </xf>
    <xf numFmtId="0" fontId="23" fillId="34" borderId="0" xfId="0" applyFont="1" applyFill="1" applyAlignment="1">
      <alignment horizontal="center"/>
    </xf>
    <xf numFmtId="0" fontId="22" fillId="34" borderId="0" xfId="0" applyFont="1" applyFill="1" applyAlignment="1">
      <alignment horizontal="justify" vertical="center" wrapText="1"/>
    </xf>
    <xf numFmtId="0" fontId="22" fillId="33" borderId="0" xfId="0" applyFont="1" applyFill="1" applyAlignment="1">
      <alignment horizontal="center" vertical="center" wrapText="1"/>
    </xf>
    <xf numFmtId="0" fontId="22" fillId="33" borderId="0" xfId="0" applyFont="1" applyFill="1" applyAlignment="1">
      <alignment horizontal="justify" vertical="center" wrapText="1"/>
    </xf>
    <xf numFmtId="0" fontId="22" fillId="34" borderId="13" xfId="0" applyFont="1" applyFill="1" applyBorder="1" applyAlignment="1">
      <alignment horizontal="justify" vertical="center" wrapText="1"/>
    </xf>
    <xf numFmtId="0" fontId="22" fillId="33" borderId="13" xfId="0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justify" vertical="center" wrapText="1"/>
    </xf>
    <xf numFmtId="0" fontId="21" fillId="34" borderId="0" xfId="0" applyFont="1" applyFill="1"/>
    <xf numFmtId="0" fontId="21" fillId="34" borderId="0" xfId="0" applyFont="1" applyFill="1" applyAlignment="1">
      <alignment horizontal="center" vertical="center"/>
    </xf>
    <xf numFmtId="0" fontId="19" fillId="33" borderId="0" xfId="43" applyFill="1"/>
    <xf numFmtId="0" fontId="0" fillId="0" borderId="0" xfId="0" pivotButton="1"/>
    <xf numFmtId="0" fontId="0" fillId="0" borderId="0" xfId="0" applyAlignment="1">
      <alignment horizontal="left"/>
    </xf>
    <xf numFmtId="0" fontId="27" fillId="35" borderId="0" xfId="0" applyFont="1" applyFill="1"/>
    <xf numFmtId="0" fontId="27" fillId="0" borderId="0" xfId="0" applyFont="1"/>
    <xf numFmtId="0" fontId="27" fillId="33" borderId="0" xfId="0" applyFont="1" applyFill="1"/>
    <xf numFmtId="0" fontId="21" fillId="34" borderId="0" xfId="0" applyFont="1" applyFill="1"/>
    <xf numFmtId="0" fontId="21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 wrapText="1"/>
    </xf>
    <xf numFmtId="0" fontId="21" fillId="33" borderId="0" xfId="0" applyFont="1" applyFill="1"/>
    <xf numFmtId="0" fontId="21" fillId="33" borderId="13" xfId="0" applyFont="1" applyFill="1" applyBorder="1"/>
    <xf numFmtId="0" fontId="21" fillId="33" borderId="11" xfId="0" applyFont="1" applyFill="1" applyBorder="1"/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adi, Angel" refreshedDate="45987.461448495371" createdVersion="8" refreshedVersion="8" minRefreshableVersion="3" recordCount="261" xr:uid="{3A301B2E-0C3D-4A18-A88E-2004CA2A25EA}">
  <cacheSource type="worksheet">
    <worksheetSource ref="A1:A262" sheet="Sheet1"/>
  </cacheSource>
  <cacheFields count="1">
    <cacheField name="SimaPro_process_name" numFmtId="0">
      <sharedItems count="261">
        <s v="Barley_2006_AgrEco2_6"/>
        <s v="Barley_2006_AgrEco1"/>
        <s v="Barley_2006_AgrEco2"/>
        <s v="Barley_2006_AgrEco3"/>
        <s v="Barley_2006_AgrEco4"/>
        <s v="Barley_2006_AgrEco5"/>
        <s v="Barley_2006_Cnt"/>
        <s v="Barley_2006_Min1"/>
        <s v="Barley_2006_Min2"/>
        <s v="Barley_2006_Min3"/>
        <s v="Barley_2006_Min4"/>
        <s v="Barley_2006_Org"/>
        <s v="Wheat_2007_AgrEco1"/>
        <s v="Wheat_2007_AgrEco2"/>
        <s v="Wheat_2007_AgrEco3"/>
        <s v="Wheat_2007_AgrEco4"/>
        <s v="Wheat_2007_AgrEco5"/>
        <s v="Wheat_2007_AgrEco6"/>
        <s v="Wheat_2007_AgrEco7"/>
        <s v="Wheat_2007_AgrEco8"/>
        <s v="Wheat_2007_Cnt"/>
        <s v="Wheat_2007_Min1"/>
        <s v="Wheat_2007_Min2"/>
        <s v="Wheat_2007_Min3"/>
        <s v="Wheat_2007_Min4"/>
        <s v="Wheat_2007_Org"/>
        <s v="Barley_2008_AgrEco1"/>
        <s v="Barley_2008_AgrEco2"/>
        <s v="Barley_2008_AgrEco3"/>
        <s v="Barley_2008_AgrEco4"/>
        <s v="Barley_2008_AgrEco5"/>
        <s v="Barley_2008_AgrEco6"/>
        <s v="Barley_2008_AgrEco7"/>
        <s v="Barley_2008_AgrEco8"/>
        <s v="Barley_2008_Cnt"/>
        <s v="Barley_2008_Min1"/>
        <s v="Barley_2008_Min2"/>
        <s v="Barley_2008_Min3"/>
        <s v="Barley_2008_Min4"/>
        <s v="Barley_2008_Org"/>
        <s v="Wheat_2009_AgrEco1"/>
        <s v="Wheat_2009_AgrEco2"/>
        <s v="Wheat_2009_AgrEco3"/>
        <s v="Wheat_2009_AgrEco4"/>
        <s v="Wheat_2009_AgrEco5"/>
        <s v="Wheat_2009_AgrEco6"/>
        <s v="Wheat_2009_AgrEco7"/>
        <s v="Wheat_2009_AgrEco8"/>
        <s v="Wheat_2009_Cnt"/>
        <s v="Wheat_2009_Min1"/>
        <s v="Wheat_2009_Min2"/>
        <s v="Wheat_2009_Min3"/>
        <s v="Wheat_2009_Min4"/>
        <s v="Wheat_2009_Org"/>
        <s v="Wheat_2010_AgrEco1"/>
        <s v="Wheat_2010_AgrEco2"/>
        <s v="Wheat_2010_AgrEco3"/>
        <s v="Wheat_2010_AgrEco4"/>
        <s v="Wheat_2010_AgrEco5"/>
        <s v="Wheat_2010_AgrEco6"/>
        <s v="Wheat_2010_AgrEco7"/>
        <s v="Wheat_2010_AgrEco8"/>
        <s v="Wheat_2010_Cnt"/>
        <s v="Wheat_2010_Min1"/>
        <s v="Wheat_2010_Min2"/>
        <s v="Wheat_2010_Min3"/>
        <s v="Wheat_2010_Min4"/>
        <s v="Wheat_2010_Org"/>
        <s v="Barley_2011_AgrEco1"/>
        <s v="Barley_2011_AgrEco2"/>
        <s v="Barley_2011_AgrEco3"/>
        <s v="Barley_2011_AgrEco4"/>
        <s v="Barley_2011_AgrEco5"/>
        <s v="Barley_2011_AgrEco6"/>
        <s v="Barley_2011_AgrEco7"/>
        <s v="Barley_2011_AgrEco8"/>
        <s v="Barley_2011_Cnt"/>
        <s v="Barley_2011_Min1"/>
        <s v="Barley_2011_Min2"/>
        <s v="Barley_2011_Min3"/>
        <s v="Barley_2011_Min4"/>
        <s v="Barley_2011_Org"/>
        <s v="Wheat_2012_AgrEco1"/>
        <s v="Wheat_2012_AgrEco2"/>
        <s v="Wheat_2012_AgrEco3"/>
        <s v="Wheat_2012_AgrEco4"/>
        <s v="Wheat_2012_AgrEco5"/>
        <s v="Wheat_2012_AgrEco6"/>
        <s v="Wheat_2012_AgrEco7"/>
        <s v="Wheat_2012_AgrEco8"/>
        <s v="Wheat_2012_Cnt"/>
        <s v="Wheat_2012_Min1"/>
        <s v="Wheat_2012_Min2"/>
        <s v="Wheat_2012_Min3"/>
        <s v="Wheat_2012_Min4"/>
        <s v="Wheat_2012_Org"/>
        <s v="Barley_2013_AgrEco1"/>
        <s v="Barley_2013_AgrEco2"/>
        <s v="Barley_2013_AgrEco3"/>
        <s v="Barley_2013_AgrEco4"/>
        <s v="Barley_2013_AgrEco5"/>
        <s v="Barley_2013_AgrEco6"/>
        <s v="Barley_2013_AgrEco7"/>
        <s v="Barley_2013_AgrEco8"/>
        <s v="Barley_2013_Cnt"/>
        <s v="Barley_2013_Min1"/>
        <s v="Barley_2013_Min2"/>
        <s v="Barley_2013_Min3"/>
        <s v="Barley_2013_Min4"/>
        <s v="Barley_2013_Org"/>
        <s v="Colza_2014_AgrEco1"/>
        <s v="Colza_2014_AgrEco2"/>
        <s v="Colza_2014_Cnt"/>
        <s v="Colza_2014_Min1"/>
        <s v="Colza_2014_Min2"/>
        <s v="Colza_2014_Org"/>
        <s v="Wheat_2014_AgrEco1"/>
        <s v="Wheat_2014_AgrEco2"/>
        <s v="Wheat_2014_Cnt"/>
        <s v="Wheat_2014_Min1"/>
        <s v="Wheat_2014_Min2"/>
        <s v="Wheat_2014_Org"/>
        <s v="Wheat_2015_Cnt_1"/>
        <s v="Wheat_2015_Min1_1"/>
        <s v="Wheat_2015_Min_4"/>
        <s v="Wheat_2015_Min2_2"/>
        <s v="Wheat_2015_Min3_3"/>
        <s v="Wheat_2015_Min_5"/>
        <s v="Wheat_2015_Org_1"/>
        <s v="Wheat_2015_AgrEco_1"/>
        <s v="Wheat_2015_AgrEco"/>
        <s v="Wheat_2015_Cnt"/>
        <s v="Wheat_2015_Min1"/>
        <s v="Wheat_2015_Min2"/>
        <s v="Wheat_2015_Min3"/>
        <s v="Wheat_2015_Org"/>
        <s v="Wheat_2016_Cnt_1"/>
        <s v="Wheat_2016_Min1_1"/>
        <s v="Wheat_2016_Min1_4"/>
        <s v="Wheat_2016_Min2_2"/>
        <s v="Wheat_2016_Min3_3"/>
        <s v="Wheat_2016_Org_1"/>
        <s v="Wheat_2016_AgrEco1_1"/>
        <s v="Wheat_2016_AgrEco1"/>
        <s v="Wheat_2016_AgrEco2"/>
        <s v="Wheat_2016_Cnt"/>
        <s v="Wheat_2016_Min1"/>
        <s v="Wheat_2016_Min2"/>
        <s v="Wheat_2016_Min3"/>
        <s v="Wheat_2016_Org"/>
        <s v="Wheat_2017_Cnt_1"/>
        <s v="Wheat_2017_Min1_1"/>
        <s v="Wheat_2017_Min1_4"/>
        <s v="Wheat_2017_Min2_2"/>
        <s v="Wheat_2017_Min3_3"/>
        <s v="Wheat_2017_Org_1"/>
        <s v="Wheat_2017_AgrEco1_2"/>
        <s v="Wheat_2017_AgrEco2_2"/>
        <s v="Wheat_2017_AgrEco1"/>
        <s v="Wheat_2017_AgrEco2"/>
        <s v="Wheat_2017_Cnt"/>
        <s v="Wheat_2017_Min1"/>
        <s v="Wheat_2017_Min2"/>
        <s v="Wheat_2017_Min3"/>
        <s v="Wheat_2017_Org"/>
        <s v="Barley_2018_Cnt_1"/>
        <s v="Barley_2018_Min1_1"/>
        <s v="Barley_2018_Min1_4"/>
        <s v="Barley_2018_Min2_2"/>
        <s v="Barley_2018_Min3_3"/>
        <s v="Barley_2018_Org_1"/>
        <s v="Barley_2018_AgrEco1_1"/>
        <s v="Barley_2018_AgrEco2_2"/>
        <s v="Barley_2018_AgrEco1"/>
        <s v="Barley_2018_AgrEco2"/>
        <s v="Barley_2018_Cnt"/>
        <s v="Barley_2018_Min1"/>
        <s v="Barley_2018_Min2"/>
        <s v="Barley_2018_Min3"/>
        <s v="Barley_2018_Org"/>
        <s v="Wheat_2019_Cnt_1"/>
        <s v="Wheat_2019_Min1_1"/>
        <s v="Wheat_2019_Min1_4"/>
        <s v="Wheat_2019_Min2_2"/>
        <s v="Wheat_2019_Min3_3"/>
        <s v="Wheat_2019_Org_1"/>
        <s v="Wheat_2019_AgrEco1_1"/>
        <s v="Wheat_2019_AgrEco2_1"/>
        <s v="Wheat_2019_AgrEco1"/>
        <s v="Wheat_2019_AgrEco2"/>
        <s v="Wheat_2019_Cnt"/>
        <s v="Wheat_2019_Min1"/>
        <s v="Wheat_2019_Min2"/>
        <s v="Wheat_2019_Min3"/>
        <s v="Wheat_2019_Org"/>
        <s v="Barley_2020_Cnt_1"/>
        <s v="Barley_2020_Min1_1"/>
        <s v="Barley_2020_Min1_4"/>
        <s v="Barley_2020_Min2_2"/>
        <s v="Barley_2020_Min3_3"/>
        <s v="Barley_2020_Org_1"/>
        <s v="Barley_2020_AgrEco1_1"/>
        <s v="Barley_2020_AgrEco2_2"/>
        <s v="Barley_2020_AgrEco1"/>
        <s v="Barley_2020_AgrEco2"/>
        <s v="Barley_2020_Cnt"/>
        <s v="Barley_2020_Min1"/>
        <s v="Barley_2020_Min2"/>
        <s v="Barley_2020_Min3"/>
        <s v="Barley_2020_Org"/>
        <s v="Colza_2021_AgrEco1"/>
        <s v="Colza_2021_AgrEco2"/>
        <s v="Colza_2021_Cnt"/>
        <s v="Colza_2021_Min1"/>
        <s v="Colza_2021_Min2"/>
        <s v="Colza_2021_Min3"/>
        <s v="Colza_2021_Min4"/>
        <s v="Colza_2021_Org"/>
        <s v="Wheat_2021_AgrEco1"/>
        <s v="Wheat_2021_AgrEco2"/>
        <s v="Wheat_2021_Cnt"/>
        <s v="Wheat_2021_Min1"/>
        <s v="Wheat_2021_Min2"/>
        <s v="Wheat_2021_Min3"/>
        <s v="Wheat_2021_Org"/>
        <s v="Wheat_2022_AgrEco1"/>
        <s v="Wheat_2022_AgrEco2"/>
        <s v="Wheat_2022_Cnt"/>
        <s v="Wheat_2022_Min1"/>
        <s v="Wheat_2022_Min2"/>
        <s v="Wheat_2022_Org"/>
        <s v="WheatSD_2022_AgrEco1"/>
        <s v="WheatSD_2022_AgrEco2"/>
        <s v="WheatSD_2022_Cnt"/>
        <s v="WheatSD_2022_Min1"/>
        <s v="WheatSD_2022_Min2"/>
        <s v="WheatSD_2022_Org"/>
        <s v="Barley_2023_AgrEco1"/>
        <s v="Barley_2023_AgrEco2"/>
        <s v="Barley_2023_Cnt"/>
        <s v="Barley_2023_Min1"/>
        <s v="Barley_2023_Min2"/>
        <s v="Barley_2023_Org"/>
        <s v="BarleySD_2023_AgrEco1"/>
        <s v="BarleySD_2023_AgrEco2"/>
        <s v="BarleySD_2023_Cnt"/>
        <s v="BarleySD_2023_Min1"/>
        <s v="BarleySD_2023_Min2"/>
        <s v="BarleySD_2023_Org"/>
        <s v="Barley_2024_AgroEco1"/>
        <s v="Barley_2024_AgroEco2"/>
        <s v="Barley_2024_Cnt"/>
        <s v="Barley_2024_Min1"/>
        <s v="Barley_2024_Min2"/>
        <s v="Barley_2024_Org"/>
        <s v="BarleySD_2024_AgroEco1"/>
        <s v="BarleySD_2024_AgroEco2"/>
        <s v="BarleySD_2024_Cnt"/>
        <s v="BarleySD_2024_Min1"/>
        <s v="BarleySD_2024_Min2"/>
        <s v="BarleySD_2024_Or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043B9-6C33-4CFC-9BEB-790A2A369DA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5" firstHeaderRow="1" firstDataRow="1" firstDataCol="1"/>
  <pivotFields count="1">
    <pivotField axis="axisRow" dataField="1" showAll="0">
      <items count="262">
        <item x="1"/>
        <item x="2"/>
        <item x="0"/>
        <item x="3"/>
        <item x="4"/>
        <item x="5"/>
        <item x="6"/>
        <item x="7"/>
        <item x="8"/>
        <item x="9"/>
        <item x="10"/>
        <item x="11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73"/>
        <item x="171"/>
        <item x="174"/>
        <item x="172"/>
        <item x="175"/>
        <item x="165"/>
        <item x="176"/>
        <item x="166"/>
        <item x="167"/>
        <item x="177"/>
        <item x="168"/>
        <item x="178"/>
        <item x="169"/>
        <item x="179"/>
        <item x="170"/>
        <item x="203"/>
        <item x="201"/>
        <item x="204"/>
        <item x="202"/>
        <item x="205"/>
        <item x="195"/>
        <item x="206"/>
        <item x="196"/>
        <item x="197"/>
        <item x="207"/>
        <item x="198"/>
        <item x="208"/>
        <item x="199"/>
        <item x="209"/>
        <item x="200"/>
        <item x="237"/>
        <item x="238"/>
        <item x="239"/>
        <item x="240"/>
        <item x="241"/>
        <item x="242"/>
        <item x="249"/>
        <item x="250"/>
        <item x="251"/>
        <item x="252"/>
        <item x="253"/>
        <item x="254"/>
        <item x="243"/>
        <item x="244"/>
        <item x="245"/>
        <item x="246"/>
        <item x="247"/>
        <item x="248"/>
        <item x="255"/>
        <item x="256"/>
        <item x="257"/>
        <item x="258"/>
        <item x="259"/>
        <item x="260"/>
        <item x="110"/>
        <item x="111"/>
        <item x="112"/>
        <item x="113"/>
        <item x="114"/>
        <item x="115"/>
        <item x="210"/>
        <item x="211"/>
        <item x="212"/>
        <item x="213"/>
        <item x="214"/>
        <item x="215"/>
        <item x="216"/>
        <item x="21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6"/>
        <item x="117"/>
        <item x="118"/>
        <item x="119"/>
        <item x="120"/>
        <item x="121"/>
        <item x="130"/>
        <item x="129"/>
        <item x="131"/>
        <item x="122"/>
        <item x="124"/>
        <item x="127"/>
        <item x="132"/>
        <item x="123"/>
        <item x="133"/>
        <item x="125"/>
        <item x="134"/>
        <item x="126"/>
        <item x="135"/>
        <item x="128"/>
        <item x="143"/>
        <item x="142"/>
        <item x="144"/>
        <item x="145"/>
        <item x="136"/>
        <item x="146"/>
        <item x="137"/>
        <item x="138"/>
        <item x="147"/>
        <item x="139"/>
        <item x="148"/>
        <item x="140"/>
        <item x="149"/>
        <item x="141"/>
        <item x="158"/>
        <item x="156"/>
        <item x="159"/>
        <item x="157"/>
        <item x="160"/>
        <item x="150"/>
        <item x="161"/>
        <item x="151"/>
        <item x="152"/>
        <item x="162"/>
        <item x="153"/>
        <item x="163"/>
        <item x="154"/>
        <item x="164"/>
        <item x="155"/>
        <item x="188"/>
        <item x="186"/>
        <item x="189"/>
        <item x="187"/>
        <item x="190"/>
        <item x="180"/>
        <item x="191"/>
        <item x="181"/>
        <item x="182"/>
        <item x="192"/>
        <item x="183"/>
        <item x="193"/>
        <item x="184"/>
        <item x="194"/>
        <item x="185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</pivotFields>
  <rowFields count="1">
    <field x="0"/>
  </rowFields>
  <rowItems count="2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 t="grand">
      <x/>
    </i>
  </rowItems>
  <colItems count="1">
    <i/>
  </colItems>
  <dataFields count="1">
    <dataField name="Count of SimaPro_process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uralcat.gencat.cat/documents/20181/335807/An%C3%A0lisis+de+la+qualitat+de+mat%C3%A8ria+org%C3%A0nica+compostada..pdf/37a21468-35f9-4a2c-b640-532a2a272f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7"/>
  <sheetViews>
    <sheetView tabSelected="1" zoomScale="110" zoomScaleNormal="110" workbookViewId="0">
      <pane xSplit="3" ySplit="1" topLeftCell="D2" activePane="bottomRight" state="frozen"/>
      <selection pane="topRight" activeCell="H237" sqref="H237"/>
      <selection pane="bottomLeft" activeCell="H237" sqref="H237"/>
      <selection pane="bottomRight" activeCell="H10" sqref="H10"/>
    </sheetView>
  </sheetViews>
  <sheetFormatPr defaultColWidth="2.42578125" defaultRowHeight="15" customHeight="1" x14ac:dyDescent="0.25"/>
  <cols>
    <col min="1" max="1" width="6" style="3" bestFit="1" customWidth="1"/>
    <col min="2" max="2" width="33.85546875" style="3" bestFit="1" customWidth="1"/>
    <col min="3" max="3" width="22" style="4" bestFit="1" customWidth="1"/>
    <col min="4" max="4" width="7.42578125" style="4" bestFit="1" customWidth="1"/>
    <col min="5" max="5" width="11.140625" style="4" bestFit="1" customWidth="1"/>
    <col min="6" max="6" width="15.5703125" style="5" bestFit="1" customWidth="1"/>
    <col min="7" max="7" width="15" style="5" bestFit="1" customWidth="1"/>
    <col min="8" max="8" width="24.28515625" style="6" bestFit="1" customWidth="1"/>
    <col min="9" max="9" width="12" style="7" bestFit="1" customWidth="1"/>
    <col min="10" max="10" width="14.28515625" style="8" bestFit="1" customWidth="1"/>
    <col min="11" max="11" width="14.85546875" style="8" bestFit="1" customWidth="1"/>
    <col min="12" max="12" width="23" style="4" bestFit="1" customWidth="1"/>
    <col min="13" max="13" width="10.5703125" style="4" bestFit="1" customWidth="1"/>
    <col min="14" max="14" width="17.140625" style="9" bestFit="1" customWidth="1"/>
    <col min="15" max="15" width="17.85546875" style="4" bestFit="1" customWidth="1"/>
    <col min="16" max="16" width="18.140625" style="4" bestFit="1" customWidth="1"/>
    <col min="17" max="17" width="25" style="9" bestFit="1" customWidth="1"/>
    <col min="18" max="18" width="18.140625" style="4" bestFit="1" customWidth="1"/>
    <col min="19" max="19" width="25" style="9" bestFit="1" customWidth="1"/>
    <col min="20" max="20" width="13.5703125" style="20" bestFit="1" customWidth="1"/>
    <col min="21" max="21" width="13.140625" style="4" bestFit="1" customWidth="1"/>
    <col min="22" max="22" width="11.7109375" style="6" bestFit="1" customWidth="1"/>
    <col min="23" max="23" width="14" style="6" bestFit="1" customWidth="1"/>
    <col min="24" max="24" width="13.5703125" style="6" bestFit="1" customWidth="1"/>
    <col min="25" max="25" width="18.85546875" style="6" bestFit="1" customWidth="1"/>
    <col min="26" max="27" width="18.5703125" style="6" bestFit="1" customWidth="1"/>
    <col min="28" max="28" width="14" style="6" bestFit="1" customWidth="1"/>
    <col min="29" max="29" width="13.85546875" style="6" bestFit="1" customWidth="1"/>
    <col min="30" max="30" width="12.5703125" style="6" bestFit="1" customWidth="1"/>
    <col min="31" max="31" width="12.28515625" style="6" bestFit="1" customWidth="1"/>
    <col min="32" max="32" width="12.140625" style="6" bestFit="1" customWidth="1"/>
    <col min="33" max="33" width="13.7109375" style="6" bestFit="1" customWidth="1"/>
    <col min="34" max="34" width="23.28515625" style="6" bestFit="1" customWidth="1"/>
    <col min="35" max="35" width="16.85546875" style="8" bestFit="1" customWidth="1"/>
    <col min="36" max="36" width="16.7109375" style="4" bestFit="1" customWidth="1"/>
    <col min="37" max="37" width="18.85546875" style="9" bestFit="1" customWidth="1"/>
    <col min="38" max="38" width="19.5703125" style="9" bestFit="1" customWidth="1"/>
    <col min="39" max="39" width="22.7109375" style="8" bestFit="1" customWidth="1"/>
    <col min="40" max="40" width="9.7109375" style="6" bestFit="1" customWidth="1"/>
    <col min="41" max="41" width="10.5703125" style="6" bestFit="1" customWidth="1"/>
    <col min="42" max="42" width="11" style="6" bestFit="1" customWidth="1"/>
    <col min="43" max="43" width="9.42578125" style="6" bestFit="1" customWidth="1"/>
    <col min="44" max="44" width="10.28515625" style="6" bestFit="1" customWidth="1"/>
    <col min="45" max="45" width="10.7109375" style="6" bestFit="1" customWidth="1"/>
    <col min="46" max="46" width="9.42578125" style="6" bestFit="1" customWidth="1"/>
    <col min="47" max="47" width="10.28515625" style="6" bestFit="1" customWidth="1"/>
    <col min="48" max="48" width="10.7109375" style="6" bestFit="1" customWidth="1"/>
    <col min="49" max="49" width="19.7109375" style="16" bestFit="1" customWidth="1"/>
    <col min="50" max="51" width="18.5703125" style="16" bestFit="1" customWidth="1"/>
    <col min="52" max="52" width="18.140625" style="9" bestFit="1" customWidth="1"/>
    <col min="53" max="53" width="20.140625" style="16" bestFit="1" customWidth="1"/>
    <col min="54" max="54" width="24.7109375" style="16" bestFit="1" customWidth="1"/>
    <col min="55" max="55" width="14.28515625" style="8" bestFit="1" customWidth="1"/>
    <col min="56" max="56" width="20.5703125" style="4" bestFit="1" customWidth="1"/>
    <col min="57" max="57" width="47.5703125" style="4" bestFit="1" customWidth="1"/>
    <col min="58" max="58" width="16.42578125" style="16" bestFit="1" customWidth="1"/>
    <col min="59" max="59" width="21.7109375" style="4" bestFit="1" customWidth="1"/>
    <col min="60" max="60" width="34.7109375" style="4" bestFit="1" customWidth="1"/>
    <col min="61" max="61" width="16.42578125" style="16" bestFit="1" customWidth="1"/>
    <col min="62" max="62" width="21.7109375" style="4" bestFit="1" customWidth="1"/>
    <col min="63" max="63" width="19.85546875" style="4" bestFit="1" customWidth="1"/>
    <col min="64" max="64" width="16.42578125" style="16" bestFit="1" customWidth="1"/>
    <col min="65" max="65" width="21.7109375" style="4" bestFit="1" customWidth="1"/>
    <col min="66" max="66" width="19.85546875" style="4" bestFit="1" customWidth="1"/>
    <col min="67" max="67" width="16.42578125" style="16" bestFit="1" customWidth="1"/>
    <col min="68" max="68" width="21.7109375" style="4" bestFit="1" customWidth="1"/>
    <col min="69" max="69" width="19.85546875" style="4" bestFit="1" customWidth="1"/>
    <col min="70" max="70" width="16.42578125" style="16" bestFit="1" customWidth="1"/>
    <col min="71" max="71" width="21.7109375" style="4" bestFit="1" customWidth="1"/>
    <col min="72" max="72" width="19.85546875" style="4" bestFit="1" customWidth="1"/>
    <col min="73" max="73" width="16.42578125" style="16" bestFit="1" customWidth="1"/>
    <col min="74" max="74" width="21.7109375" style="4" bestFit="1" customWidth="1"/>
    <col min="75" max="75" width="19.85546875" style="4" bestFit="1" customWidth="1"/>
    <col min="76" max="76" width="16.42578125" style="16" bestFit="1" customWidth="1"/>
    <col min="77" max="77" width="21.7109375" style="4" bestFit="1" customWidth="1"/>
    <col min="78" max="78" width="19.85546875" style="4" bestFit="1" customWidth="1"/>
    <col min="79" max="79" width="16.42578125" style="16" bestFit="1" customWidth="1"/>
    <col min="80" max="80" width="21.7109375" style="4" bestFit="1" customWidth="1"/>
    <col min="81" max="81" width="19.85546875" style="4" bestFit="1" customWidth="1"/>
    <col min="82" max="82" width="16.42578125" style="16" bestFit="1" customWidth="1"/>
    <col min="83" max="83" width="21.7109375" style="4" bestFit="1" customWidth="1"/>
    <col min="84" max="84" width="13.7109375" style="4" bestFit="1" customWidth="1"/>
    <col min="85" max="85" width="18.85546875" style="4" bestFit="1" customWidth="1"/>
    <col min="86" max="86" width="19.85546875" style="9" bestFit="1" customWidth="1"/>
    <col min="87" max="87" width="15.7109375" style="4" bestFit="1" customWidth="1"/>
    <col min="88" max="88" width="18.85546875" style="4" bestFit="1" customWidth="1"/>
    <col min="89" max="89" width="19.85546875" style="9" bestFit="1" customWidth="1"/>
    <col min="90" max="90" width="13.7109375" style="4" bestFit="1" customWidth="1"/>
    <col min="91" max="91" width="18.85546875" style="4" bestFit="1" customWidth="1"/>
    <col min="92" max="92" width="19.85546875" style="9" bestFit="1" customWidth="1"/>
    <col min="93" max="93" width="14.7109375" style="4" bestFit="1" customWidth="1"/>
    <col min="94" max="94" width="18.85546875" style="4" bestFit="1" customWidth="1"/>
    <col min="95" max="95" width="19.85546875" style="9" bestFit="1" customWidth="1"/>
    <col min="96" max="96" width="16.28515625" style="3" bestFit="1" customWidth="1"/>
    <col min="97" max="97" width="16.85546875" style="3" bestFit="1" customWidth="1"/>
    <col min="98" max="16384" width="2.42578125" style="3"/>
  </cols>
  <sheetData>
    <row r="1" spans="1:97" x14ac:dyDescent="0.25">
      <c r="A1" s="3" t="s">
        <v>0</v>
      </c>
      <c r="B1" s="3" t="s">
        <v>451</v>
      </c>
      <c r="C1" s="4" t="s">
        <v>452</v>
      </c>
      <c r="D1" s="4" t="s">
        <v>4</v>
      </c>
      <c r="E1" s="4" t="s">
        <v>453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3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9" t="s">
        <v>16</v>
      </c>
      <c r="R1" s="4" t="s">
        <v>17</v>
      </c>
      <c r="S1" s="9" t="s">
        <v>18</v>
      </c>
      <c r="T1" s="10" t="s">
        <v>19</v>
      </c>
      <c r="U1" s="9" t="s">
        <v>20</v>
      </c>
      <c r="V1" s="6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6" t="s">
        <v>33</v>
      </c>
      <c r="AI1" s="13" t="s">
        <v>34</v>
      </c>
      <c r="AJ1" s="9" t="s">
        <v>35</v>
      </c>
      <c r="AK1" s="14" t="s">
        <v>36</v>
      </c>
      <c r="AL1" s="14" t="s">
        <v>37</v>
      </c>
      <c r="AM1" s="8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15" t="s">
        <v>48</v>
      </c>
      <c r="AX1" s="15" t="s">
        <v>49</v>
      </c>
      <c r="AY1" s="15" t="s">
        <v>50</v>
      </c>
      <c r="AZ1" s="14" t="s">
        <v>51</v>
      </c>
      <c r="BA1" s="15" t="s">
        <v>52</v>
      </c>
      <c r="BB1" s="15" t="s">
        <v>53</v>
      </c>
      <c r="BC1" s="8" t="s">
        <v>54</v>
      </c>
      <c r="BD1" s="4" t="s">
        <v>55</v>
      </c>
      <c r="BE1" s="4" t="s">
        <v>56</v>
      </c>
      <c r="BF1" s="16" t="s">
        <v>57</v>
      </c>
      <c r="BG1" s="4" t="s">
        <v>58</v>
      </c>
      <c r="BH1" s="4" t="s">
        <v>59</v>
      </c>
      <c r="BI1" s="16" t="s">
        <v>60</v>
      </c>
      <c r="BJ1" s="4" t="s">
        <v>61</v>
      </c>
      <c r="BK1" s="4" t="s">
        <v>62</v>
      </c>
      <c r="BL1" s="16" t="s">
        <v>63</v>
      </c>
      <c r="BM1" s="4" t="s">
        <v>64</v>
      </c>
      <c r="BN1" s="4" t="s">
        <v>65</v>
      </c>
      <c r="BO1" s="16" t="s">
        <v>66</v>
      </c>
      <c r="BP1" s="4" t="s">
        <v>67</v>
      </c>
      <c r="BQ1" s="4" t="s">
        <v>68</v>
      </c>
      <c r="BR1" s="16" t="s">
        <v>69</v>
      </c>
      <c r="BS1" s="4" t="s">
        <v>70</v>
      </c>
      <c r="BT1" s="4" t="s">
        <v>71</v>
      </c>
      <c r="BU1" s="16" t="s">
        <v>72</v>
      </c>
      <c r="BV1" s="4" t="s">
        <v>73</v>
      </c>
      <c r="BW1" s="4" t="s">
        <v>74</v>
      </c>
      <c r="BX1" s="16" t="s">
        <v>75</v>
      </c>
      <c r="BY1" s="4" t="s">
        <v>76</v>
      </c>
      <c r="BZ1" s="4" t="s">
        <v>77</v>
      </c>
      <c r="CA1" s="16" t="s">
        <v>78</v>
      </c>
      <c r="CB1" s="4" t="s">
        <v>79</v>
      </c>
      <c r="CC1" s="4" t="s">
        <v>80</v>
      </c>
      <c r="CD1" s="16" t="s">
        <v>81</v>
      </c>
      <c r="CE1" s="4" t="s">
        <v>82</v>
      </c>
      <c r="CF1" s="4" t="s">
        <v>83</v>
      </c>
      <c r="CG1" s="4" t="s">
        <v>84</v>
      </c>
      <c r="CH1" s="9" t="s">
        <v>85</v>
      </c>
      <c r="CI1" s="4" t="s">
        <v>86</v>
      </c>
      <c r="CJ1" s="4" t="s">
        <v>87</v>
      </c>
      <c r="CK1" s="9" t="s">
        <v>88</v>
      </c>
      <c r="CL1" s="4" t="s">
        <v>89</v>
      </c>
      <c r="CM1" s="4" t="s">
        <v>90</v>
      </c>
      <c r="CN1" s="9" t="s">
        <v>91</v>
      </c>
      <c r="CO1" s="4" t="s">
        <v>92</v>
      </c>
      <c r="CP1" s="4" t="s">
        <v>93</v>
      </c>
      <c r="CQ1" s="9" t="s">
        <v>94</v>
      </c>
      <c r="CR1" s="3" t="s">
        <v>95</v>
      </c>
      <c r="CS1" s="4" t="s">
        <v>96</v>
      </c>
    </row>
    <row r="2" spans="1:97" x14ac:dyDescent="0.25">
      <c r="A2" s="17">
        <v>1</v>
      </c>
      <c r="B2" s="18"/>
      <c r="E2" s="4" t="s">
        <v>98</v>
      </c>
      <c r="H2" s="6">
        <v>7</v>
      </c>
      <c r="I2" s="7">
        <v>2.3E-3</v>
      </c>
      <c r="J2" s="8">
        <v>1594.4051039956214</v>
      </c>
      <c r="K2" s="8">
        <v>3992.2736172625846</v>
      </c>
      <c r="L2" s="9">
        <v>0</v>
      </c>
      <c r="M2" s="9">
        <v>0</v>
      </c>
      <c r="N2" s="9">
        <v>0</v>
      </c>
      <c r="P2" s="4" t="s">
        <v>99</v>
      </c>
      <c r="Q2" s="9">
        <v>0.77189259259259269</v>
      </c>
      <c r="R2" s="9" t="s">
        <v>100</v>
      </c>
      <c r="S2" s="9">
        <v>0.38</v>
      </c>
      <c r="T2" s="19" t="s">
        <v>101</v>
      </c>
      <c r="U2" s="4" t="s">
        <v>102</v>
      </c>
      <c r="V2" s="6">
        <v>65.150000000000006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80</v>
      </c>
      <c r="AE2" s="6">
        <v>0</v>
      </c>
      <c r="AF2" s="6">
        <v>0</v>
      </c>
      <c r="AG2" s="6">
        <v>0</v>
      </c>
      <c r="AH2" s="6">
        <v>80</v>
      </c>
      <c r="AI2" s="8">
        <v>30000</v>
      </c>
      <c r="AJ2" s="4" t="s">
        <v>103</v>
      </c>
      <c r="AK2" s="9">
        <v>0</v>
      </c>
      <c r="AL2" s="9">
        <v>0</v>
      </c>
      <c r="AM2" s="8">
        <v>30000</v>
      </c>
      <c r="AN2" s="6">
        <v>271.49</v>
      </c>
      <c r="AO2" s="6">
        <v>80</v>
      </c>
      <c r="AP2" s="6">
        <v>191.48999999999998</v>
      </c>
      <c r="AQ2" s="6">
        <v>49.713750000000005</v>
      </c>
      <c r="AR2" s="6">
        <v>0</v>
      </c>
      <c r="AS2" s="6">
        <v>49.713750000000005</v>
      </c>
      <c r="AT2" s="6">
        <v>295.70474999999993</v>
      </c>
      <c r="AU2" s="6">
        <v>0</v>
      </c>
      <c r="AV2" s="6">
        <v>295.70474999999993</v>
      </c>
      <c r="AW2" s="6">
        <v>0</v>
      </c>
      <c r="AX2" s="6">
        <v>1</v>
      </c>
      <c r="AY2" s="6">
        <v>1.5</v>
      </c>
      <c r="AZ2" s="6">
        <v>0</v>
      </c>
      <c r="BA2" s="6">
        <v>0</v>
      </c>
      <c r="BB2" s="6">
        <f t="shared" ref="BB2:BB7" si="0">SUM(AW2:BA2)</f>
        <v>2.5</v>
      </c>
      <c r="BC2" s="8">
        <v>190</v>
      </c>
      <c r="BD2" s="4" t="s">
        <v>104</v>
      </c>
      <c r="BE2" s="46" t="s">
        <v>105</v>
      </c>
      <c r="BF2" s="16">
        <v>0.15</v>
      </c>
      <c r="BG2" s="4" t="s">
        <v>106</v>
      </c>
      <c r="BH2" s="46" t="s">
        <v>107</v>
      </c>
      <c r="BI2" s="16">
        <v>0.59</v>
      </c>
      <c r="BJ2" s="4" t="s">
        <v>106</v>
      </c>
      <c r="BK2" s="46" t="s">
        <v>108</v>
      </c>
      <c r="BL2" s="16">
        <v>1.1299999999999999</v>
      </c>
      <c r="BM2" s="3" t="s">
        <v>106</v>
      </c>
      <c r="CF2" s="16" t="s">
        <v>109</v>
      </c>
      <c r="CG2" s="16" t="s">
        <v>110</v>
      </c>
      <c r="CH2" s="9">
        <v>1.9</v>
      </c>
      <c r="CI2" s="16" t="s">
        <v>111</v>
      </c>
      <c r="CJ2" s="16" t="s">
        <v>112</v>
      </c>
      <c r="CK2" s="9">
        <v>150</v>
      </c>
      <c r="CL2" s="16" t="s">
        <v>113</v>
      </c>
      <c r="CM2" s="16" t="s">
        <v>110</v>
      </c>
      <c r="CN2" s="9">
        <v>2.9629629629629628</v>
      </c>
      <c r="CO2" s="16" t="s">
        <v>114</v>
      </c>
      <c r="CP2" s="16" t="s">
        <v>110</v>
      </c>
      <c r="CQ2" s="9">
        <v>1.8093000000000001E-2</v>
      </c>
      <c r="CR2" s="9"/>
      <c r="CS2" s="9"/>
    </row>
    <row r="3" spans="1:97" x14ac:dyDescent="0.25">
      <c r="A3" s="17">
        <v>2</v>
      </c>
      <c r="B3" s="18"/>
      <c r="E3" s="4" t="s">
        <v>98</v>
      </c>
      <c r="F3" s="5" t="s">
        <v>116</v>
      </c>
      <c r="G3" s="5" t="s">
        <v>117</v>
      </c>
      <c r="H3" s="6">
        <v>7</v>
      </c>
      <c r="I3" s="7">
        <v>2.3E-3</v>
      </c>
      <c r="J3" s="8">
        <v>2862</v>
      </c>
      <c r="K3" s="8">
        <v>6587.7276744367909</v>
      </c>
      <c r="L3" s="9">
        <v>0</v>
      </c>
      <c r="M3" s="9">
        <v>0</v>
      </c>
      <c r="N3" s="9">
        <v>0</v>
      </c>
      <c r="P3" s="4" t="s">
        <v>99</v>
      </c>
      <c r="Q3" s="9">
        <v>0.47559629629629635</v>
      </c>
      <c r="R3" s="9" t="s">
        <v>100</v>
      </c>
      <c r="S3" s="9">
        <v>0.38</v>
      </c>
      <c r="T3" s="19" t="s">
        <v>101</v>
      </c>
      <c r="U3" s="4" t="s">
        <v>102</v>
      </c>
      <c r="V3" s="6">
        <v>65.150000000000006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40</v>
      </c>
      <c r="AE3" s="6">
        <v>0</v>
      </c>
      <c r="AF3" s="6">
        <v>0</v>
      </c>
      <c r="AG3" s="6">
        <v>0</v>
      </c>
      <c r="AH3" s="6">
        <v>40</v>
      </c>
      <c r="AI3" s="8">
        <v>30000</v>
      </c>
      <c r="AJ3" s="4" t="s">
        <v>103</v>
      </c>
      <c r="AK3" s="9">
        <v>0</v>
      </c>
      <c r="AL3" s="9">
        <v>0</v>
      </c>
      <c r="AM3" s="8">
        <v>30000</v>
      </c>
      <c r="AN3" s="6">
        <v>231.48999999999998</v>
      </c>
      <c r="AO3" s="6">
        <v>40</v>
      </c>
      <c r="AP3" s="6">
        <v>191.48999999999998</v>
      </c>
      <c r="AQ3" s="6">
        <v>49.713750000000005</v>
      </c>
      <c r="AR3" s="6">
        <v>0</v>
      </c>
      <c r="AS3" s="6">
        <v>49.713750000000005</v>
      </c>
      <c r="AT3" s="6">
        <v>295.70474999999993</v>
      </c>
      <c r="AU3" s="6">
        <v>0</v>
      </c>
      <c r="AV3" s="6">
        <v>295.70474999999993</v>
      </c>
      <c r="AW3" s="6">
        <v>0</v>
      </c>
      <c r="AX3" s="6">
        <v>1</v>
      </c>
      <c r="AY3" s="6">
        <v>1.5</v>
      </c>
      <c r="AZ3" s="6">
        <v>0</v>
      </c>
      <c r="BA3" s="6">
        <v>0</v>
      </c>
      <c r="BB3" s="6">
        <f t="shared" si="0"/>
        <v>2.5</v>
      </c>
      <c r="BC3" s="8">
        <v>190</v>
      </c>
      <c r="BD3" s="4" t="s">
        <v>104</v>
      </c>
      <c r="BE3" s="47" t="s">
        <v>105</v>
      </c>
      <c r="BF3" s="16">
        <v>0.15</v>
      </c>
      <c r="BG3" s="4" t="s">
        <v>106</v>
      </c>
      <c r="BH3" s="47" t="s">
        <v>107</v>
      </c>
      <c r="BI3" s="16">
        <v>0.59</v>
      </c>
      <c r="BJ3" s="4" t="s">
        <v>106</v>
      </c>
      <c r="BK3" s="48" t="s">
        <v>108</v>
      </c>
      <c r="BL3" s="16">
        <v>1.1299999999999999</v>
      </c>
      <c r="BM3" s="3" t="s">
        <v>106</v>
      </c>
      <c r="CF3" s="16" t="s">
        <v>109</v>
      </c>
      <c r="CG3" s="16" t="s">
        <v>110</v>
      </c>
      <c r="CH3" s="9">
        <v>1.9</v>
      </c>
      <c r="CI3" s="16" t="s">
        <v>111</v>
      </c>
      <c r="CJ3" s="16" t="s">
        <v>112</v>
      </c>
      <c r="CK3" s="9">
        <v>150</v>
      </c>
      <c r="CL3" s="16" t="s">
        <v>113</v>
      </c>
      <c r="CM3" s="16" t="s">
        <v>110</v>
      </c>
      <c r="CN3" s="9">
        <v>1.4814814814814814</v>
      </c>
      <c r="CO3" s="16" t="s">
        <v>114</v>
      </c>
      <c r="CP3" s="16" t="s">
        <v>110</v>
      </c>
      <c r="CQ3" s="9">
        <v>1.8093000000000001E-2</v>
      </c>
      <c r="CR3" s="9"/>
      <c r="CS3" s="9"/>
    </row>
    <row r="4" spans="1:97" x14ac:dyDescent="0.25">
      <c r="A4" s="17">
        <v>3</v>
      </c>
      <c r="B4" s="18"/>
      <c r="E4" s="4" t="s">
        <v>98</v>
      </c>
      <c r="F4" s="5" t="s">
        <v>116</v>
      </c>
      <c r="G4" s="5" t="s">
        <v>117</v>
      </c>
      <c r="H4" s="6">
        <v>7</v>
      </c>
      <c r="I4" s="7">
        <v>2.3E-3</v>
      </c>
      <c r="J4" s="8">
        <v>3156</v>
      </c>
      <c r="K4" s="8">
        <v>8054.1168223849163</v>
      </c>
      <c r="L4" s="9">
        <v>0</v>
      </c>
      <c r="M4" s="9">
        <v>0</v>
      </c>
      <c r="N4" s="9">
        <v>0</v>
      </c>
      <c r="P4" s="4" t="s">
        <v>99</v>
      </c>
      <c r="Q4" s="9">
        <v>0.77189259259259269</v>
      </c>
      <c r="R4" s="9" t="s">
        <v>100</v>
      </c>
      <c r="S4" s="9">
        <v>0.38</v>
      </c>
      <c r="T4" s="19" t="s">
        <v>101</v>
      </c>
      <c r="U4" s="4" t="s">
        <v>102</v>
      </c>
      <c r="V4" s="6">
        <v>65.150000000000006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80</v>
      </c>
      <c r="AE4" s="6">
        <v>0</v>
      </c>
      <c r="AF4" s="6">
        <v>0</v>
      </c>
      <c r="AG4" s="6">
        <v>0</v>
      </c>
      <c r="AH4" s="6">
        <v>80</v>
      </c>
      <c r="AI4" s="8">
        <v>30000</v>
      </c>
      <c r="AJ4" s="4" t="s">
        <v>103</v>
      </c>
      <c r="AK4" s="9">
        <v>0</v>
      </c>
      <c r="AL4" s="9">
        <v>0</v>
      </c>
      <c r="AM4" s="8">
        <v>30000</v>
      </c>
      <c r="AN4" s="6">
        <v>271.49</v>
      </c>
      <c r="AO4" s="6">
        <v>80</v>
      </c>
      <c r="AP4" s="6">
        <v>191.48999999999998</v>
      </c>
      <c r="AQ4" s="6">
        <v>49.713750000000005</v>
      </c>
      <c r="AR4" s="6">
        <v>0</v>
      </c>
      <c r="AS4" s="6">
        <v>49.713750000000005</v>
      </c>
      <c r="AT4" s="6">
        <v>295.70474999999993</v>
      </c>
      <c r="AU4" s="6">
        <v>0</v>
      </c>
      <c r="AV4" s="6">
        <v>295.70474999999993</v>
      </c>
      <c r="AW4" s="6">
        <v>0</v>
      </c>
      <c r="AX4" s="6">
        <v>1</v>
      </c>
      <c r="AY4" s="6">
        <v>1.5</v>
      </c>
      <c r="AZ4" s="6">
        <v>0</v>
      </c>
      <c r="BA4" s="6">
        <v>0</v>
      </c>
      <c r="BB4" s="6">
        <f t="shared" si="0"/>
        <v>2.5</v>
      </c>
      <c r="BC4" s="8">
        <v>190</v>
      </c>
      <c r="BD4" s="4" t="s">
        <v>104</v>
      </c>
      <c r="BE4" s="47" t="s">
        <v>105</v>
      </c>
      <c r="BF4" s="16">
        <v>0.15</v>
      </c>
      <c r="BG4" s="4" t="s">
        <v>106</v>
      </c>
      <c r="BH4" s="47" t="s">
        <v>107</v>
      </c>
      <c r="BI4" s="16">
        <v>0.59</v>
      </c>
      <c r="BJ4" s="4" t="s">
        <v>106</v>
      </c>
      <c r="BK4" s="48" t="s">
        <v>108</v>
      </c>
      <c r="BL4" s="16">
        <v>1.1299999999999999</v>
      </c>
      <c r="BM4" s="3" t="s">
        <v>106</v>
      </c>
      <c r="CF4" s="16" t="s">
        <v>109</v>
      </c>
      <c r="CG4" s="16" t="s">
        <v>110</v>
      </c>
      <c r="CH4" s="9">
        <v>1.9</v>
      </c>
      <c r="CI4" s="16" t="s">
        <v>111</v>
      </c>
      <c r="CJ4" s="16" t="s">
        <v>112</v>
      </c>
      <c r="CK4" s="9">
        <v>150</v>
      </c>
      <c r="CL4" s="16" t="s">
        <v>113</v>
      </c>
      <c r="CM4" s="16" t="s">
        <v>110</v>
      </c>
      <c r="CN4" s="9">
        <v>2.9629629629629628</v>
      </c>
      <c r="CO4" s="16" t="s">
        <v>114</v>
      </c>
      <c r="CP4" s="16" t="s">
        <v>110</v>
      </c>
      <c r="CQ4" s="9">
        <v>1.8093000000000001E-2</v>
      </c>
      <c r="CR4" s="9"/>
      <c r="CS4" s="9"/>
    </row>
    <row r="5" spans="1:97" x14ac:dyDescent="0.25">
      <c r="A5" s="17">
        <v>4</v>
      </c>
      <c r="B5" s="18"/>
      <c r="E5" s="4" t="s">
        <v>98</v>
      </c>
      <c r="F5" s="5" t="s">
        <v>116</v>
      </c>
      <c r="G5" s="5" t="s">
        <v>117</v>
      </c>
      <c r="H5" s="6">
        <v>7</v>
      </c>
      <c r="I5" s="7">
        <v>2.3E-3</v>
      </c>
      <c r="J5" s="8">
        <v>1636</v>
      </c>
      <c r="K5" s="8">
        <v>5562.4126868282665</v>
      </c>
      <c r="L5" s="9">
        <v>0</v>
      </c>
      <c r="M5" s="9">
        <v>0</v>
      </c>
      <c r="N5" s="9">
        <v>0</v>
      </c>
      <c r="P5" s="4" t="s">
        <v>99</v>
      </c>
      <c r="Q5" s="9">
        <v>0.77189259259259269</v>
      </c>
      <c r="R5" s="9" t="s">
        <v>100</v>
      </c>
      <c r="S5" s="9">
        <v>0.38</v>
      </c>
      <c r="T5" s="19" t="s">
        <v>101</v>
      </c>
      <c r="U5" s="4" t="s">
        <v>102</v>
      </c>
      <c r="V5" s="6">
        <v>65.150000000000006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80</v>
      </c>
      <c r="AE5" s="6">
        <v>0</v>
      </c>
      <c r="AF5" s="6">
        <v>0</v>
      </c>
      <c r="AG5" s="6">
        <v>0</v>
      </c>
      <c r="AH5" s="6">
        <v>80</v>
      </c>
      <c r="AI5" s="8">
        <v>30000</v>
      </c>
      <c r="AJ5" s="4" t="s">
        <v>103</v>
      </c>
      <c r="AK5" s="9">
        <v>0</v>
      </c>
      <c r="AL5" s="9">
        <v>0</v>
      </c>
      <c r="AM5" s="8">
        <v>30000</v>
      </c>
      <c r="AN5" s="6">
        <v>271.49</v>
      </c>
      <c r="AO5" s="6">
        <v>80</v>
      </c>
      <c r="AP5" s="6">
        <v>191.48999999999998</v>
      </c>
      <c r="AQ5" s="6">
        <v>49.713750000000005</v>
      </c>
      <c r="AR5" s="6">
        <v>0</v>
      </c>
      <c r="AS5" s="6">
        <v>49.713750000000005</v>
      </c>
      <c r="AT5" s="6">
        <v>295.70474999999993</v>
      </c>
      <c r="AU5" s="6">
        <v>0</v>
      </c>
      <c r="AV5" s="6">
        <v>295.70474999999993</v>
      </c>
      <c r="AW5" s="6">
        <v>0</v>
      </c>
      <c r="AX5" s="6">
        <v>1</v>
      </c>
      <c r="AY5" s="6">
        <v>1.5</v>
      </c>
      <c r="AZ5" s="6">
        <v>0</v>
      </c>
      <c r="BA5" s="6">
        <v>0</v>
      </c>
      <c r="BB5" s="6">
        <f t="shared" si="0"/>
        <v>2.5</v>
      </c>
      <c r="BC5" s="8">
        <v>190</v>
      </c>
      <c r="BD5" s="4" t="s">
        <v>104</v>
      </c>
      <c r="BE5" s="47" t="s">
        <v>105</v>
      </c>
      <c r="BF5" s="16">
        <v>0.15</v>
      </c>
      <c r="BG5" s="4" t="s">
        <v>106</v>
      </c>
      <c r="BH5" s="47" t="s">
        <v>107</v>
      </c>
      <c r="BI5" s="16">
        <v>0.59</v>
      </c>
      <c r="BJ5" s="4" t="s">
        <v>106</v>
      </c>
      <c r="BK5" s="48" t="s">
        <v>108</v>
      </c>
      <c r="BL5" s="16">
        <v>1.1299999999999999</v>
      </c>
      <c r="BM5" s="3" t="s">
        <v>106</v>
      </c>
      <c r="CF5" s="16" t="s">
        <v>109</v>
      </c>
      <c r="CG5" s="16" t="s">
        <v>110</v>
      </c>
      <c r="CH5" s="9">
        <v>1.9</v>
      </c>
      <c r="CI5" s="16" t="s">
        <v>111</v>
      </c>
      <c r="CJ5" s="16" t="s">
        <v>112</v>
      </c>
      <c r="CK5" s="9">
        <v>150</v>
      </c>
      <c r="CL5" s="16" t="s">
        <v>113</v>
      </c>
      <c r="CM5" s="16" t="s">
        <v>110</v>
      </c>
      <c r="CN5" s="9">
        <v>2.9629629629629628</v>
      </c>
      <c r="CO5" s="16" t="s">
        <v>114</v>
      </c>
      <c r="CP5" s="16" t="s">
        <v>110</v>
      </c>
      <c r="CQ5" s="9">
        <v>1.8093000000000001E-2</v>
      </c>
      <c r="CR5" s="9"/>
      <c r="CS5" s="9"/>
    </row>
    <row r="6" spans="1:97" x14ac:dyDescent="0.25">
      <c r="A6" s="17">
        <v>5</v>
      </c>
      <c r="B6" s="18"/>
      <c r="E6" s="4" t="s">
        <v>98</v>
      </c>
      <c r="F6" s="5" t="s">
        <v>116</v>
      </c>
      <c r="G6" s="5" t="s">
        <v>117</v>
      </c>
      <c r="H6" s="6">
        <v>7</v>
      </c>
      <c r="I6" s="7">
        <v>2.3E-3</v>
      </c>
      <c r="J6" s="8">
        <v>1407.825328407225</v>
      </c>
      <c r="K6" s="8">
        <v>2811.7835427613541</v>
      </c>
      <c r="L6" s="9">
        <v>0</v>
      </c>
      <c r="M6" s="9">
        <v>0</v>
      </c>
      <c r="N6" s="9">
        <v>0</v>
      </c>
      <c r="P6" s="4" t="s">
        <v>99</v>
      </c>
      <c r="Q6" s="9">
        <v>0.77189259259259269</v>
      </c>
      <c r="R6" s="9" t="s">
        <v>100</v>
      </c>
      <c r="S6" s="9">
        <v>0.38</v>
      </c>
      <c r="T6" s="19" t="s">
        <v>101</v>
      </c>
      <c r="U6" s="4" t="s">
        <v>102</v>
      </c>
      <c r="V6" s="6">
        <v>65.150000000000006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80</v>
      </c>
      <c r="AE6" s="6">
        <v>0</v>
      </c>
      <c r="AF6" s="6">
        <v>0</v>
      </c>
      <c r="AG6" s="6">
        <v>0</v>
      </c>
      <c r="AH6" s="6">
        <v>80</v>
      </c>
      <c r="AI6" s="8">
        <v>30000</v>
      </c>
      <c r="AJ6" s="4" t="s">
        <v>103</v>
      </c>
      <c r="AK6" s="9">
        <v>0</v>
      </c>
      <c r="AL6" s="9">
        <v>0</v>
      </c>
      <c r="AM6" s="8">
        <v>30000</v>
      </c>
      <c r="AN6" s="6">
        <v>271.49</v>
      </c>
      <c r="AO6" s="6">
        <v>80</v>
      </c>
      <c r="AP6" s="6">
        <v>191.48999999999998</v>
      </c>
      <c r="AQ6" s="6">
        <v>49.713750000000005</v>
      </c>
      <c r="AR6" s="6">
        <v>0</v>
      </c>
      <c r="AS6" s="6">
        <v>49.713750000000005</v>
      </c>
      <c r="AT6" s="6">
        <v>295.70474999999993</v>
      </c>
      <c r="AU6" s="6">
        <v>0</v>
      </c>
      <c r="AV6" s="6">
        <v>295.70474999999993</v>
      </c>
      <c r="AW6" s="6">
        <v>0</v>
      </c>
      <c r="AX6" s="6">
        <v>1</v>
      </c>
      <c r="AY6" s="6">
        <v>1.5</v>
      </c>
      <c r="AZ6" s="6">
        <v>0</v>
      </c>
      <c r="BA6" s="6">
        <v>0</v>
      </c>
      <c r="BB6" s="6">
        <f t="shared" si="0"/>
        <v>2.5</v>
      </c>
      <c r="BC6" s="8">
        <v>190</v>
      </c>
      <c r="BD6" s="4" t="s">
        <v>104</v>
      </c>
      <c r="BE6" s="47" t="s">
        <v>105</v>
      </c>
      <c r="BF6" s="16">
        <v>0.15</v>
      </c>
      <c r="BG6" s="4" t="s">
        <v>106</v>
      </c>
      <c r="BH6" s="47" t="s">
        <v>107</v>
      </c>
      <c r="BI6" s="16">
        <v>0.59</v>
      </c>
      <c r="BJ6" s="4" t="s">
        <v>106</v>
      </c>
      <c r="BK6" s="48" t="s">
        <v>108</v>
      </c>
      <c r="BL6" s="16">
        <v>1.1299999999999999</v>
      </c>
      <c r="BM6" s="3" t="s">
        <v>106</v>
      </c>
      <c r="CF6" s="16" t="s">
        <v>109</v>
      </c>
      <c r="CG6" s="16" t="s">
        <v>110</v>
      </c>
      <c r="CH6" s="9">
        <v>1.9</v>
      </c>
      <c r="CI6" s="16" t="s">
        <v>111</v>
      </c>
      <c r="CJ6" s="16" t="s">
        <v>112</v>
      </c>
      <c r="CK6" s="9">
        <v>150</v>
      </c>
      <c r="CL6" s="16" t="s">
        <v>113</v>
      </c>
      <c r="CM6" s="16" t="s">
        <v>110</v>
      </c>
      <c r="CN6" s="9">
        <v>2.9629629629629628</v>
      </c>
      <c r="CO6" s="16" t="s">
        <v>114</v>
      </c>
      <c r="CP6" s="16" t="s">
        <v>110</v>
      </c>
      <c r="CQ6" s="9">
        <v>1.8093000000000001E-2</v>
      </c>
      <c r="CR6" s="9"/>
      <c r="CS6" s="9"/>
    </row>
    <row r="7" spans="1:97" x14ac:dyDescent="0.25">
      <c r="A7" s="17">
        <v>6</v>
      </c>
      <c r="B7" s="18"/>
      <c r="E7" s="4" t="s">
        <v>98</v>
      </c>
      <c r="F7" s="5" t="s">
        <v>116</v>
      </c>
      <c r="G7" s="5" t="s">
        <v>117</v>
      </c>
      <c r="H7" s="6">
        <v>7</v>
      </c>
      <c r="I7" s="7">
        <v>2.3E-3</v>
      </c>
      <c r="J7" s="8">
        <v>2811</v>
      </c>
      <c r="K7" s="8">
        <v>7705.7600864670985</v>
      </c>
      <c r="L7" s="9">
        <v>0</v>
      </c>
      <c r="M7" s="9">
        <v>0</v>
      </c>
      <c r="N7" s="9">
        <v>0</v>
      </c>
      <c r="P7" s="4" t="s">
        <v>99</v>
      </c>
      <c r="Q7" s="9">
        <v>1.0681888888888889</v>
      </c>
      <c r="R7" s="9" t="s">
        <v>100</v>
      </c>
      <c r="S7" s="9">
        <v>0.38</v>
      </c>
      <c r="T7" s="19" t="s">
        <v>101</v>
      </c>
      <c r="U7" s="4" t="s">
        <v>102</v>
      </c>
      <c r="V7" s="6">
        <v>65.150000000000006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120</v>
      </c>
      <c r="AE7" s="6">
        <v>0</v>
      </c>
      <c r="AF7" s="6">
        <v>0</v>
      </c>
      <c r="AG7" s="6">
        <v>0</v>
      </c>
      <c r="AH7" s="6">
        <v>120</v>
      </c>
      <c r="AI7" s="8">
        <v>30000</v>
      </c>
      <c r="AJ7" s="4" t="s">
        <v>103</v>
      </c>
      <c r="AK7" s="9">
        <v>0</v>
      </c>
      <c r="AL7" s="9">
        <v>0</v>
      </c>
      <c r="AM7" s="8">
        <v>30000</v>
      </c>
      <c r="AN7" s="6">
        <v>311.49</v>
      </c>
      <c r="AO7" s="6">
        <v>120</v>
      </c>
      <c r="AP7" s="6">
        <v>191.48999999999998</v>
      </c>
      <c r="AQ7" s="6">
        <v>49.713750000000005</v>
      </c>
      <c r="AR7" s="6">
        <v>0</v>
      </c>
      <c r="AS7" s="6">
        <v>49.713750000000005</v>
      </c>
      <c r="AT7" s="6">
        <v>295.70474999999993</v>
      </c>
      <c r="AU7" s="6">
        <v>0</v>
      </c>
      <c r="AV7" s="6">
        <v>295.70474999999993</v>
      </c>
      <c r="AW7" s="6">
        <v>0</v>
      </c>
      <c r="AX7" s="6">
        <v>1</v>
      </c>
      <c r="AY7" s="6">
        <v>1.5</v>
      </c>
      <c r="AZ7" s="6">
        <v>0</v>
      </c>
      <c r="BA7" s="6">
        <v>0</v>
      </c>
      <c r="BB7" s="6">
        <f t="shared" si="0"/>
        <v>2.5</v>
      </c>
      <c r="BC7" s="8">
        <v>190</v>
      </c>
      <c r="BD7" s="4" t="s">
        <v>104</v>
      </c>
      <c r="BE7" s="47" t="s">
        <v>105</v>
      </c>
      <c r="BF7" s="16">
        <v>0.15</v>
      </c>
      <c r="BG7" s="4" t="s">
        <v>106</v>
      </c>
      <c r="BH7" s="47" t="s">
        <v>107</v>
      </c>
      <c r="BI7" s="16">
        <v>0.59</v>
      </c>
      <c r="BJ7" s="4" t="s">
        <v>106</v>
      </c>
      <c r="BK7" s="48" t="s">
        <v>108</v>
      </c>
      <c r="BL7" s="16">
        <v>1.1299999999999999</v>
      </c>
      <c r="BM7" s="3" t="s">
        <v>106</v>
      </c>
      <c r="CF7" s="16" t="s">
        <v>109</v>
      </c>
      <c r="CG7" s="16" t="s">
        <v>110</v>
      </c>
      <c r="CH7" s="9">
        <v>1.9</v>
      </c>
      <c r="CI7" s="16" t="s">
        <v>111</v>
      </c>
      <c r="CJ7" s="16" t="s">
        <v>112</v>
      </c>
      <c r="CK7" s="9">
        <v>150</v>
      </c>
      <c r="CL7" s="16" t="s">
        <v>113</v>
      </c>
      <c r="CM7" s="16" t="s">
        <v>110</v>
      </c>
      <c r="CN7" s="9">
        <v>4.4444444444444446</v>
      </c>
      <c r="CO7" s="16" t="s">
        <v>114</v>
      </c>
      <c r="CP7" s="16" t="s">
        <v>110</v>
      </c>
      <c r="CQ7" s="9">
        <v>1.8093000000000001E-2</v>
      </c>
      <c r="CR7" s="9"/>
      <c r="CS7" s="9"/>
    </row>
  </sheetData>
  <autoFilter ref="B1:CS7" xr:uid="{00000000-0001-0000-0000-000000000000}"/>
  <sortState xmlns:xlrd2="http://schemas.microsoft.com/office/spreadsheetml/2017/richdata2" ref="C3:CS7">
    <sortCondition ref="C3:C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865B-6092-4C23-941C-7D8B42E9BD77}">
  <dimension ref="A3:B265"/>
  <sheetViews>
    <sheetView workbookViewId="0">
      <selection activeCell="A3" sqref="A3"/>
    </sheetView>
  </sheetViews>
  <sheetFormatPr defaultRowHeight="15" x14ac:dyDescent="0.25"/>
  <cols>
    <col min="1" max="1" width="22.28515625" bestFit="1" customWidth="1"/>
    <col min="2" max="2" width="28.85546875" bestFit="1" customWidth="1"/>
  </cols>
  <sheetData>
    <row r="3" spans="1:2" x14ac:dyDescent="0.25">
      <c r="A3" s="44" t="s">
        <v>378</v>
      </c>
      <c r="B3" t="s">
        <v>379</v>
      </c>
    </row>
    <row r="4" spans="1:2" x14ac:dyDescent="0.25">
      <c r="A4" s="45" t="s">
        <v>115</v>
      </c>
      <c r="B4">
        <v>1</v>
      </c>
    </row>
    <row r="5" spans="1:2" x14ac:dyDescent="0.25">
      <c r="A5" s="45" t="s">
        <v>118</v>
      </c>
      <c r="B5">
        <v>1</v>
      </c>
    </row>
    <row r="6" spans="1:2" x14ac:dyDescent="0.25">
      <c r="A6" s="45" t="s">
        <v>97</v>
      </c>
      <c r="B6">
        <v>1</v>
      </c>
    </row>
    <row r="7" spans="1:2" x14ac:dyDescent="0.25">
      <c r="A7" s="45" t="s">
        <v>119</v>
      </c>
      <c r="B7">
        <v>1</v>
      </c>
    </row>
    <row r="8" spans="1:2" x14ac:dyDescent="0.25">
      <c r="A8" s="45" t="s">
        <v>120</v>
      </c>
      <c r="B8">
        <v>1</v>
      </c>
    </row>
    <row r="9" spans="1:2" x14ac:dyDescent="0.25">
      <c r="A9" s="45" t="s">
        <v>121</v>
      </c>
      <c r="B9">
        <v>1</v>
      </c>
    </row>
    <row r="10" spans="1:2" x14ac:dyDescent="0.25">
      <c r="A10" s="45" t="s">
        <v>122</v>
      </c>
      <c r="B10">
        <v>1</v>
      </c>
    </row>
    <row r="11" spans="1:2" x14ac:dyDescent="0.25">
      <c r="A11" s="45" t="s">
        <v>123</v>
      </c>
      <c r="B11">
        <v>1</v>
      </c>
    </row>
    <row r="12" spans="1:2" x14ac:dyDescent="0.25">
      <c r="A12" s="45" t="s">
        <v>124</v>
      </c>
      <c r="B12">
        <v>1</v>
      </c>
    </row>
    <row r="13" spans="1:2" x14ac:dyDescent="0.25">
      <c r="A13" s="45" t="s">
        <v>125</v>
      </c>
      <c r="B13">
        <v>1</v>
      </c>
    </row>
    <row r="14" spans="1:2" x14ac:dyDescent="0.25">
      <c r="A14" s="45" t="s">
        <v>126</v>
      </c>
      <c r="B14">
        <v>1</v>
      </c>
    </row>
    <row r="15" spans="1:2" x14ac:dyDescent="0.25">
      <c r="A15" s="45" t="s">
        <v>127</v>
      </c>
      <c r="B15">
        <v>1</v>
      </c>
    </row>
    <row r="16" spans="1:2" x14ac:dyDescent="0.25">
      <c r="A16" s="45" t="s">
        <v>142</v>
      </c>
      <c r="B16">
        <v>1</v>
      </c>
    </row>
    <row r="17" spans="1:2" x14ac:dyDescent="0.25">
      <c r="A17" s="45" t="s">
        <v>143</v>
      </c>
      <c r="B17">
        <v>1</v>
      </c>
    </row>
    <row r="18" spans="1:2" x14ac:dyDescent="0.25">
      <c r="A18" s="45" t="s">
        <v>144</v>
      </c>
      <c r="B18">
        <v>1</v>
      </c>
    </row>
    <row r="19" spans="1:2" x14ac:dyDescent="0.25">
      <c r="A19" s="45" t="s">
        <v>145</v>
      </c>
      <c r="B19">
        <v>1</v>
      </c>
    </row>
    <row r="20" spans="1:2" x14ac:dyDescent="0.25">
      <c r="A20" s="45" t="s">
        <v>146</v>
      </c>
      <c r="B20">
        <v>1</v>
      </c>
    </row>
    <row r="21" spans="1:2" x14ac:dyDescent="0.25">
      <c r="A21" s="45" t="s">
        <v>147</v>
      </c>
      <c r="B21">
        <v>1</v>
      </c>
    </row>
    <row r="22" spans="1:2" x14ac:dyDescent="0.25">
      <c r="A22" s="45" t="s">
        <v>148</v>
      </c>
      <c r="B22">
        <v>1</v>
      </c>
    </row>
    <row r="23" spans="1:2" x14ac:dyDescent="0.25">
      <c r="A23" s="45" t="s">
        <v>149</v>
      </c>
      <c r="B23">
        <v>1</v>
      </c>
    </row>
    <row r="24" spans="1:2" x14ac:dyDescent="0.25">
      <c r="A24" s="45" t="s">
        <v>150</v>
      </c>
      <c r="B24">
        <v>1</v>
      </c>
    </row>
    <row r="25" spans="1:2" x14ac:dyDescent="0.25">
      <c r="A25" s="45" t="s">
        <v>151</v>
      </c>
      <c r="B25">
        <v>1</v>
      </c>
    </row>
    <row r="26" spans="1:2" x14ac:dyDescent="0.25">
      <c r="A26" s="45" t="s">
        <v>152</v>
      </c>
      <c r="B26">
        <v>1</v>
      </c>
    </row>
    <row r="27" spans="1:2" x14ac:dyDescent="0.25">
      <c r="A27" s="45" t="s">
        <v>153</v>
      </c>
      <c r="B27">
        <v>1</v>
      </c>
    </row>
    <row r="28" spans="1:2" x14ac:dyDescent="0.25">
      <c r="A28" s="45" t="s">
        <v>154</v>
      </c>
      <c r="B28">
        <v>1</v>
      </c>
    </row>
    <row r="29" spans="1:2" x14ac:dyDescent="0.25">
      <c r="A29" s="45" t="s">
        <v>155</v>
      </c>
      <c r="B29">
        <v>1</v>
      </c>
    </row>
    <row r="30" spans="1:2" x14ac:dyDescent="0.25">
      <c r="A30" s="45" t="s">
        <v>184</v>
      </c>
      <c r="B30">
        <v>1</v>
      </c>
    </row>
    <row r="31" spans="1:2" x14ac:dyDescent="0.25">
      <c r="A31" s="45" t="s">
        <v>185</v>
      </c>
      <c r="B31">
        <v>1</v>
      </c>
    </row>
    <row r="32" spans="1:2" x14ac:dyDescent="0.25">
      <c r="A32" s="45" t="s">
        <v>186</v>
      </c>
      <c r="B32">
        <v>1</v>
      </c>
    </row>
    <row r="33" spans="1:2" x14ac:dyDescent="0.25">
      <c r="A33" s="45" t="s">
        <v>187</v>
      </c>
      <c r="B33">
        <v>1</v>
      </c>
    </row>
    <row r="34" spans="1:2" x14ac:dyDescent="0.25">
      <c r="A34" s="45" t="s">
        <v>188</v>
      </c>
      <c r="B34">
        <v>1</v>
      </c>
    </row>
    <row r="35" spans="1:2" x14ac:dyDescent="0.25">
      <c r="A35" s="45" t="s">
        <v>189</v>
      </c>
      <c r="B35">
        <v>1</v>
      </c>
    </row>
    <row r="36" spans="1:2" x14ac:dyDescent="0.25">
      <c r="A36" s="45" t="s">
        <v>190</v>
      </c>
      <c r="B36">
        <v>1</v>
      </c>
    </row>
    <row r="37" spans="1:2" x14ac:dyDescent="0.25">
      <c r="A37" s="45" t="s">
        <v>191</v>
      </c>
      <c r="B37">
        <v>1</v>
      </c>
    </row>
    <row r="38" spans="1:2" x14ac:dyDescent="0.25">
      <c r="A38" s="45" t="s">
        <v>192</v>
      </c>
      <c r="B38">
        <v>1</v>
      </c>
    </row>
    <row r="39" spans="1:2" x14ac:dyDescent="0.25">
      <c r="A39" s="45" t="s">
        <v>193</v>
      </c>
      <c r="B39">
        <v>1</v>
      </c>
    </row>
    <row r="40" spans="1:2" x14ac:dyDescent="0.25">
      <c r="A40" s="45" t="s">
        <v>194</v>
      </c>
      <c r="B40">
        <v>1</v>
      </c>
    </row>
    <row r="41" spans="1:2" x14ac:dyDescent="0.25">
      <c r="A41" s="45" t="s">
        <v>195</v>
      </c>
      <c r="B41">
        <v>1</v>
      </c>
    </row>
    <row r="42" spans="1:2" x14ac:dyDescent="0.25">
      <c r="A42" s="45" t="s">
        <v>196</v>
      </c>
      <c r="B42">
        <v>1</v>
      </c>
    </row>
    <row r="43" spans="1:2" x14ac:dyDescent="0.25">
      <c r="A43" s="45" t="s">
        <v>197</v>
      </c>
      <c r="B43">
        <v>1</v>
      </c>
    </row>
    <row r="44" spans="1:2" x14ac:dyDescent="0.25">
      <c r="A44" s="45" t="s">
        <v>212</v>
      </c>
      <c r="B44">
        <v>1</v>
      </c>
    </row>
    <row r="45" spans="1:2" x14ac:dyDescent="0.25">
      <c r="A45" s="45" t="s">
        <v>213</v>
      </c>
      <c r="B45">
        <v>1</v>
      </c>
    </row>
    <row r="46" spans="1:2" x14ac:dyDescent="0.25">
      <c r="A46" s="45" t="s">
        <v>214</v>
      </c>
      <c r="B46">
        <v>1</v>
      </c>
    </row>
    <row r="47" spans="1:2" x14ac:dyDescent="0.25">
      <c r="A47" s="45" t="s">
        <v>215</v>
      </c>
      <c r="B47">
        <v>1</v>
      </c>
    </row>
    <row r="48" spans="1:2" x14ac:dyDescent="0.25">
      <c r="A48" s="45" t="s">
        <v>216</v>
      </c>
      <c r="B48">
        <v>1</v>
      </c>
    </row>
    <row r="49" spans="1:2" x14ac:dyDescent="0.25">
      <c r="A49" s="45" t="s">
        <v>217</v>
      </c>
      <c r="B49">
        <v>1</v>
      </c>
    </row>
    <row r="50" spans="1:2" x14ac:dyDescent="0.25">
      <c r="A50" s="45" t="s">
        <v>218</v>
      </c>
      <c r="B50">
        <v>1</v>
      </c>
    </row>
    <row r="51" spans="1:2" x14ac:dyDescent="0.25">
      <c r="A51" s="45" t="s">
        <v>219</v>
      </c>
      <c r="B51">
        <v>1</v>
      </c>
    </row>
    <row r="52" spans="1:2" x14ac:dyDescent="0.25">
      <c r="A52" s="45" t="s">
        <v>220</v>
      </c>
      <c r="B52">
        <v>1</v>
      </c>
    </row>
    <row r="53" spans="1:2" x14ac:dyDescent="0.25">
      <c r="A53" s="45" t="s">
        <v>221</v>
      </c>
      <c r="B53">
        <v>1</v>
      </c>
    </row>
    <row r="54" spans="1:2" x14ac:dyDescent="0.25">
      <c r="A54" s="45" t="s">
        <v>222</v>
      </c>
      <c r="B54">
        <v>1</v>
      </c>
    </row>
    <row r="55" spans="1:2" x14ac:dyDescent="0.25">
      <c r="A55" s="45" t="s">
        <v>223</v>
      </c>
      <c r="B55">
        <v>1</v>
      </c>
    </row>
    <row r="56" spans="1:2" x14ac:dyDescent="0.25">
      <c r="A56" s="45" t="s">
        <v>224</v>
      </c>
      <c r="B56">
        <v>1</v>
      </c>
    </row>
    <row r="57" spans="1:2" x14ac:dyDescent="0.25">
      <c r="A57" s="45" t="s">
        <v>225</v>
      </c>
      <c r="B57">
        <v>1</v>
      </c>
    </row>
    <row r="58" spans="1:2" x14ac:dyDescent="0.25">
      <c r="A58" s="45" t="s">
        <v>290</v>
      </c>
      <c r="B58">
        <v>1</v>
      </c>
    </row>
    <row r="59" spans="1:2" x14ac:dyDescent="0.25">
      <c r="A59" s="45" t="s">
        <v>288</v>
      </c>
      <c r="B59">
        <v>1</v>
      </c>
    </row>
    <row r="60" spans="1:2" x14ac:dyDescent="0.25">
      <c r="A60" s="45" t="s">
        <v>291</v>
      </c>
      <c r="B60">
        <v>1</v>
      </c>
    </row>
    <row r="61" spans="1:2" x14ac:dyDescent="0.25">
      <c r="A61" s="45" t="s">
        <v>289</v>
      </c>
      <c r="B61">
        <v>1</v>
      </c>
    </row>
    <row r="62" spans="1:2" x14ac:dyDescent="0.25">
      <c r="A62" s="45" t="s">
        <v>292</v>
      </c>
      <c r="B62">
        <v>1</v>
      </c>
    </row>
    <row r="63" spans="1:2" x14ac:dyDescent="0.25">
      <c r="A63" s="45" t="s">
        <v>282</v>
      </c>
      <c r="B63">
        <v>1</v>
      </c>
    </row>
    <row r="64" spans="1:2" x14ac:dyDescent="0.25">
      <c r="A64" s="45" t="s">
        <v>293</v>
      </c>
      <c r="B64">
        <v>1</v>
      </c>
    </row>
    <row r="65" spans="1:2" x14ac:dyDescent="0.25">
      <c r="A65" s="45" t="s">
        <v>283</v>
      </c>
      <c r="B65">
        <v>1</v>
      </c>
    </row>
    <row r="66" spans="1:2" x14ac:dyDescent="0.25">
      <c r="A66" s="45" t="s">
        <v>284</v>
      </c>
      <c r="B66">
        <v>1</v>
      </c>
    </row>
    <row r="67" spans="1:2" x14ac:dyDescent="0.25">
      <c r="A67" s="45" t="s">
        <v>294</v>
      </c>
      <c r="B67">
        <v>1</v>
      </c>
    </row>
    <row r="68" spans="1:2" x14ac:dyDescent="0.25">
      <c r="A68" s="45" t="s">
        <v>285</v>
      </c>
      <c r="B68">
        <v>1</v>
      </c>
    </row>
    <row r="69" spans="1:2" x14ac:dyDescent="0.25">
      <c r="A69" s="45" t="s">
        <v>295</v>
      </c>
      <c r="B69">
        <v>1</v>
      </c>
    </row>
    <row r="70" spans="1:2" x14ac:dyDescent="0.25">
      <c r="A70" s="45" t="s">
        <v>286</v>
      </c>
      <c r="B70">
        <v>1</v>
      </c>
    </row>
    <row r="71" spans="1:2" x14ac:dyDescent="0.25">
      <c r="A71" s="45" t="s">
        <v>296</v>
      </c>
      <c r="B71">
        <v>1</v>
      </c>
    </row>
    <row r="72" spans="1:2" x14ac:dyDescent="0.25">
      <c r="A72" s="45" t="s">
        <v>287</v>
      </c>
      <c r="B72">
        <v>1</v>
      </c>
    </row>
    <row r="73" spans="1:2" x14ac:dyDescent="0.25">
      <c r="A73" s="45" t="s">
        <v>320</v>
      </c>
      <c r="B73">
        <v>1</v>
      </c>
    </row>
    <row r="74" spans="1:2" x14ac:dyDescent="0.25">
      <c r="A74" s="45" t="s">
        <v>318</v>
      </c>
      <c r="B74">
        <v>1</v>
      </c>
    </row>
    <row r="75" spans="1:2" x14ac:dyDescent="0.25">
      <c r="A75" s="45" t="s">
        <v>321</v>
      </c>
      <c r="B75">
        <v>1</v>
      </c>
    </row>
    <row r="76" spans="1:2" x14ac:dyDescent="0.25">
      <c r="A76" s="45" t="s">
        <v>319</v>
      </c>
      <c r="B76">
        <v>1</v>
      </c>
    </row>
    <row r="77" spans="1:2" x14ac:dyDescent="0.25">
      <c r="A77" s="45" t="s">
        <v>322</v>
      </c>
      <c r="B77">
        <v>1</v>
      </c>
    </row>
    <row r="78" spans="1:2" x14ac:dyDescent="0.25">
      <c r="A78" s="45" t="s">
        <v>312</v>
      </c>
      <c r="B78">
        <v>1</v>
      </c>
    </row>
    <row r="79" spans="1:2" x14ac:dyDescent="0.25">
      <c r="A79" s="45" t="s">
        <v>323</v>
      </c>
      <c r="B79">
        <v>1</v>
      </c>
    </row>
    <row r="80" spans="1:2" x14ac:dyDescent="0.25">
      <c r="A80" s="45" t="s">
        <v>313</v>
      </c>
      <c r="B80">
        <v>1</v>
      </c>
    </row>
    <row r="81" spans="1:2" x14ac:dyDescent="0.25">
      <c r="A81" s="45" t="s">
        <v>314</v>
      </c>
      <c r="B81">
        <v>1</v>
      </c>
    </row>
    <row r="82" spans="1:2" x14ac:dyDescent="0.25">
      <c r="A82" s="45" t="s">
        <v>324</v>
      </c>
      <c r="B82">
        <v>1</v>
      </c>
    </row>
    <row r="83" spans="1:2" x14ac:dyDescent="0.25">
      <c r="A83" s="45" t="s">
        <v>315</v>
      </c>
      <c r="B83">
        <v>1</v>
      </c>
    </row>
    <row r="84" spans="1:2" x14ac:dyDescent="0.25">
      <c r="A84" s="45" t="s">
        <v>325</v>
      </c>
      <c r="B84">
        <v>1</v>
      </c>
    </row>
    <row r="85" spans="1:2" x14ac:dyDescent="0.25">
      <c r="A85" s="45" t="s">
        <v>316</v>
      </c>
      <c r="B85">
        <v>1</v>
      </c>
    </row>
    <row r="86" spans="1:2" x14ac:dyDescent="0.25">
      <c r="A86" s="45" t="s">
        <v>326</v>
      </c>
      <c r="B86">
        <v>1</v>
      </c>
    </row>
    <row r="87" spans="1:2" x14ac:dyDescent="0.25">
      <c r="A87" s="45" t="s">
        <v>317</v>
      </c>
      <c r="B87">
        <v>1</v>
      </c>
    </row>
    <row r="88" spans="1:2" x14ac:dyDescent="0.25">
      <c r="A88" s="45" t="s">
        <v>354</v>
      </c>
      <c r="B88">
        <v>1</v>
      </c>
    </row>
    <row r="89" spans="1:2" x14ac:dyDescent="0.25">
      <c r="A89" s="45" t="s">
        <v>355</v>
      </c>
      <c r="B89">
        <v>1</v>
      </c>
    </row>
    <row r="90" spans="1:2" x14ac:dyDescent="0.25">
      <c r="A90" s="45" t="s">
        <v>356</v>
      </c>
      <c r="B90">
        <v>1</v>
      </c>
    </row>
    <row r="91" spans="1:2" x14ac:dyDescent="0.25">
      <c r="A91" s="45" t="s">
        <v>357</v>
      </c>
      <c r="B91">
        <v>1</v>
      </c>
    </row>
    <row r="92" spans="1:2" x14ac:dyDescent="0.25">
      <c r="A92" s="45" t="s">
        <v>358</v>
      </c>
      <c r="B92">
        <v>1</v>
      </c>
    </row>
    <row r="93" spans="1:2" x14ac:dyDescent="0.25">
      <c r="A93" s="45" t="s">
        <v>359</v>
      </c>
      <c r="B93">
        <v>1</v>
      </c>
    </row>
    <row r="94" spans="1:2" x14ac:dyDescent="0.25">
      <c r="A94" s="45" t="s">
        <v>366</v>
      </c>
      <c r="B94">
        <v>1</v>
      </c>
    </row>
    <row r="95" spans="1:2" x14ac:dyDescent="0.25">
      <c r="A95" s="45" t="s">
        <v>367</v>
      </c>
      <c r="B95">
        <v>1</v>
      </c>
    </row>
    <row r="96" spans="1:2" x14ac:dyDescent="0.25">
      <c r="A96" s="45" t="s">
        <v>368</v>
      </c>
      <c r="B96">
        <v>1</v>
      </c>
    </row>
    <row r="97" spans="1:2" x14ac:dyDescent="0.25">
      <c r="A97" s="45" t="s">
        <v>369</v>
      </c>
      <c r="B97">
        <v>1</v>
      </c>
    </row>
    <row r="98" spans="1:2" x14ac:dyDescent="0.25">
      <c r="A98" s="45" t="s">
        <v>370</v>
      </c>
      <c r="B98">
        <v>1</v>
      </c>
    </row>
    <row r="99" spans="1:2" x14ac:dyDescent="0.25">
      <c r="A99" s="45" t="s">
        <v>371</v>
      </c>
      <c r="B99">
        <v>1</v>
      </c>
    </row>
    <row r="100" spans="1:2" x14ac:dyDescent="0.25">
      <c r="A100" s="45" t="s">
        <v>360</v>
      </c>
      <c r="B100">
        <v>1</v>
      </c>
    </row>
    <row r="101" spans="1:2" x14ac:dyDescent="0.25">
      <c r="A101" s="45" t="s">
        <v>361</v>
      </c>
      <c r="B101">
        <v>1</v>
      </c>
    </row>
    <row r="102" spans="1:2" x14ac:dyDescent="0.25">
      <c r="A102" s="45" t="s">
        <v>362</v>
      </c>
      <c r="B102">
        <v>1</v>
      </c>
    </row>
    <row r="103" spans="1:2" x14ac:dyDescent="0.25">
      <c r="A103" s="45" t="s">
        <v>363</v>
      </c>
      <c r="B103">
        <v>1</v>
      </c>
    </row>
    <row r="104" spans="1:2" x14ac:dyDescent="0.25">
      <c r="A104" s="45" t="s">
        <v>364</v>
      </c>
      <c r="B104">
        <v>1</v>
      </c>
    </row>
    <row r="105" spans="1:2" x14ac:dyDescent="0.25">
      <c r="A105" s="45" t="s">
        <v>365</v>
      </c>
      <c r="B105">
        <v>1</v>
      </c>
    </row>
    <row r="106" spans="1:2" x14ac:dyDescent="0.25">
      <c r="A106" s="45" t="s">
        <v>372</v>
      </c>
      <c r="B106">
        <v>1</v>
      </c>
    </row>
    <row r="107" spans="1:2" x14ac:dyDescent="0.25">
      <c r="A107" s="45" t="s">
        <v>373</v>
      </c>
      <c r="B107">
        <v>1</v>
      </c>
    </row>
    <row r="108" spans="1:2" x14ac:dyDescent="0.25">
      <c r="A108" s="45" t="s">
        <v>374</v>
      </c>
      <c r="B108">
        <v>1</v>
      </c>
    </row>
    <row r="109" spans="1:2" x14ac:dyDescent="0.25">
      <c r="A109" s="45" t="s">
        <v>375</v>
      </c>
      <c r="B109">
        <v>1</v>
      </c>
    </row>
    <row r="110" spans="1:2" x14ac:dyDescent="0.25">
      <c r="A110" s="45" t="s">
        <v>376</v>
      </c>
      <c r="B110">
        <v>1</v>
      </c>
    </row>
    <row r="111" spans="1:2" x14ac:dyDescent="0.25">
      <c r="A111" s="45" t="s">
        <v>377</v>
      </c>
      <c r="B111">
        <v>1</v>
      </c>
    </row>
    <row r="112" spans="1:2" x14ac:dyDescent="0.25">
      <c r="A112" s="45" t="s">
        <v>226</v>
      </c>
      <c r="B112">
        <v>1</v>
      </c>
    </row>
    <row r="113" spans="1:2" x14ac:dyDescent="0.25">
      <c r="A113" s="45" t="s">
        <v>228</v>
      </c>
      <c r="B113">
        <v>1</v>
      </c>
    </row>
    <row r="114" spans="1:2" x14ac:dyDescent="0.25">
      <c r="A114" s="45" t="s">
        <v>229</v>
      </c>
      <c r="B114">
        <v>1</v>
      </c>
    </row>
    <row r="115" spans="1:2" x14ac:dyDescent="0.25">
      <c r="A115" s="45" t="s">
        <v>230</v>
      </c>
      <c r="B115">
        <v>1</v>
      </c>
    </row>
    <row r="116" spans="1:2" x14ac:dyDescent="0.25">
      <c r="A116" s="45" t="s">
        <v>231</v>
      </c>
      <c r="B116">
        <v>1</v>
      </c>
    </row>
    <row r="117" spans="1:2" x14ac:dyDescent="0.25">
      <c r="A117" s="45" t="s">
        <v>232</v>
      </c>
      <c r="B117">
        <v>1</v>
      </c>
    </row>
    <row r="118" spans="1:2" x14ac:dyDescent="0.25">
      <c r="A118" s="45" t="s">
        <v>327</v>
      </c>
      <c r="B118">
        <v>1</v>
      </c>
    </row>
    <row r="119" spans="1:2" x14ac:dyDescent="0.25">
      <c r="A119" s="45" t="s">
        <v>328</v>
      </c>
      <c r="B119">
        <v>1</v>
      </c>
    </row>
    <row r="120" spans="1:2" x14ac:dyDescent="0.25">
      <c r="A120" s="45" t="s">
        <v>329</v>
      </c>
      <c r="B120">
        <v>1</v>
      </c>
    </row>
    <row r="121" spans="1:2" x14ac:dyDescent="0.25">
      <c r="A121" s="45" t="s">
        <v>330</v>
      </c>
      <c r="B121">
        <v>1</v>
      </c>
    </row>
    <row r="122" spans="1:2" x14ac:dyDescent="0.25">
      <c r="A122" s="45" t="s">
        <v>331</v>
      </c>
      <c r="B122">
        <v>1</v>
      </c>
    </row>
    <row r="123" spans="1:2" x14ac:dyDescent="0.25">
      <c r="A123" s="45" t="s">
        <v>332</v>
      </c>
      <c r="B123">
        <v>1</v>
      </c>
    </row>
    <row r="124" spans="1:2" x14ac:dyDescent="0.25">
      <c r="A124" s="45" t="s">
        <v>333</v>
      </c>
      <c r="B124">
        <v>1</v>
      </c>
    </row>
    <row r="125" spans="1:2" x14ac:dyDescent="0.25">
      <c r="A125" s="45" t="s">
        <v>334</v>
      </c>
      <c r="B125">
        <v>1</v>
      </c>
    </row>
    <row r="126" spans="1:2" x14ac:dyDescent="0.25">
      <c r="A126" s="45" t="s">
        <v>128</v>
      </c>
      <c r="B126">
        <v>1</v>
      </c>
    </row>
    <row r="127" spans="1:2" x14ac:dyDescent="0.25">
      <c r="A127" s="45" t="s">
        <v>129</v>
      </c>
      <c r="B127">
        <v>1</v>
      </c>
    </row>
    <row r="128" spans="1:2" x14ac:dyDescent="0.25">
      <c r="A128" s="45" t="s">
        <v>130</v>
      </c>
      <c r="B128">
        <v>1</v>
      </c>
    </row>
    <row r="129" spans="1:2" x14ac:dyDescent="0.25">
      <c r="A129" s="45" t="s">
        <v>131</v>
      </c>
      <c r="B129">
        <v>1</v>
      </c>
    </row>
    <row r="130" spans="1:2" x14ac:dyDescent="0.25">
      <c r="A130" s="45" t="s">
        <v>132</v>
      </c>
      <c r="B130">
        <v>1</v>
      </c>
    </row>
    <row r="131" spans="1:2" x14ac:dyDescent="0.25">
      <c r="A131" s="45" t="s">
        <v>133</v>
      </c>
      <c r="B131">
        <v>1</v>
      </c>
    </row>
    <row r="132" spans="1:2" x14ac:dyDescent="0.25">
      <c r="A132" s="45" t="s">
        <v>134</v>
      </c>
      <c r="B132">
        <v>1</v>
      </c>
    </row>
    <row r="133" spans="1:2" x14ac:dyDescent="0.25">
      <c r="A133" s="45" t="s">
        <v>135</v>
      </c>
      <c r="B133">
        <v>1</v>
      </c>
    </row>
    <row r="134" spans="1:2" x14ac:dyDescent="0.25">
      <c r="A134" s="45" t="s">
        <v>136</v>
      </c>
      <c r="B134">
        <v>1</v>
      </c>
    </row>
    <row r="135" spans="1:2" x14ac:dyDescent="0.25">
      <c r="A135" s="45" t="s">
        <v>137</v>
      </c>
      <c r="B135">
        <v>1</v>
      </c>
    </row>
    <row r="136" spans="1:2" x14ac:dyDescent="0.25">
      <c r="A136" s="45" t="s">
        <v>138</v>
      </c>
      <c r="B136">
        <v>1</v>
      </c>
    </row>
    <row r="137" spans="1:2" x14ac:dyDescent="0.25">
      <c r="A137" s="45" t="s">
        <v>139</v>
      </c>
      <c r="B137">
        <v>1</v>
      </c>
    </row>
    <row r="138" spans="1:2" x14ac:dyDescent="0.25">
      <c r="A138" s="45" t="s">
        <v>140</v>
      </c>
      <c r="B138">
        <v>1</v>
      </c>
    </row>
    <row r="139" spans="1:2" x14ac:dyDescent="0.25">
      <c r="A139" s="45" t="s">
        <v>141</v>
      </c>
      <c r="B139">
        <v>1</v>
      </c>
    </row>
    <row r="140" spans="1:2" x14ac:dyDescent="0.25">
      <c r="A140" s="45" t="s">
        <v>156</v>
      </c>
      <c r="B140">
        <v>1</v>
      </c>
    </row>
    <row r="141" spans="1:2" x14ac:dyDescent="0.25">
      <c r="A141" s="45" t="s">
        <v>157</v>
      </c>
      <c r="B141">
        <v>1</v>
      </c>
    </row>
    <row r="142" spans="1:2" x14ac:dyDescent="0.25">
      <c r="A142" s="45" t="s">
        <v>158</v>
      </c>
      <c r="B142">
        <v>1</v>
      </c>
    </row>
    <row r="143" spans="1:2" x14ac:dyDescent="0.25">
      <c r="A143" s="45" t="s">
        <v>159</v>
      </c>
      <c r="B143">
        <v>1</v>
      </c>
    </row>
    <row r="144" spans="1:2" x14ac:dyDescent="0.25">
      <c r="A144" s="45" t="s">
        <v>160</v>
      </c>
      <c r="B144">
        <v>1</v>
      </c>
    </row>
    <row r="145" spans="1:2" x14ac:dyDescent="0.25">
      <c r="A145" s="45" t="s">
        <v>161</v>
      </c>
      <c r="B145">
        <v>1</v>
      </c>
    </row>
    <row r="146" spans="1:2" x14ac:dyDescent="0.25">
      <c r="A146" s="45" t="s">
        <v>162</v>
      </c>
      <c r="B146">
        <v>1</v>
      </c>
    </row>
    <row r="147" spans="1:2" x14ac:dyDescent="0.25">
      <c r="A147" s="45" t="s">
        <v>163</v>
      </c>
      <c r="B147">
        <v>1</v>
      </c>
    </row>
    <row r="148" spans="1:2" x14ac:dyDescent="0.25">
      <c r="A148" s="45" t="s">
        <v>164</v>
      </c>
      <c r="B148">
        <v>1</v>
      </c>
    </row>
    <row r="149" spans="1:2" x14ac:dyDescent="0.25">
      <c r="A149" s="45" t="s">
        <v>165</v>
      </c>
      <c r="B149">
        <v>1</v>
      </c>
    </row>
    <row r="150" spans="1:2" x14ac:dyDescent="0.25">
      <c r="A150" s="45" t="s">
        <v>166</v>
      </c>
      <c r="B150">
        <v>1</v>
      </c>
    </row>
    <row r="151" spans="1:2" x14ac:dyDescent="0.25">
      <c r="A151" s="45" t="s">
        <v>167</v>
      </c>
      <c r="B151">
        <v>1</v>
      </c>
    </row>
    <row r="152" spans="1:2" x14ac:dyDescent="0.25">
      <c r="A152" s="45" t="s">
        <v>168</v>
      </c>
      <c r="B152">
        <v>1</v>
      </c>
    </row>
    <row r="153" spans="1:2" x14ac:dyDescent="0.25">
      <c r="A153" s="45" t="s">
        <v>169</v>
      </c>
      <c r="B153">
        <v>1</v>
      </c>
    </row>
    <row r="154" spans="1:2" x14ac:dyDescent="0.25">
      <c r="A154" s="45" t="s">
        <v>170</v>
      </c>
      <c r="B154">
        <v>1</v>
      </c>
    </row>
    <row r="155" spans="1:2" x14ac:dyDescent="0.25">
      <c r="A155" s="45" t="s">
        <v>171</v>
      </c>
      <c r="B155">
        <v>1</v>
      </c>
    </row>
    <row r="156" spans="1:2" x14ac:dyDescent="0.25">
      <c r="A156" s="45" t="s">
        <v>172</v>
      </c>
      <c r="B156">
        <v>1</v>
      </c>
    </row>
    <row r="157" spans="1:2" x14ac:dyDescent="0.25">
      <c r="A157" s="45" t="s">
        <v>173</v>
      </c>
      <c r="B157">
        <v>1</v>
      </c>
    </row>
    <row r="158" spans="1:2" x14ac:dyDescent="0.25">
      <c r="A158" s="45" t="s">
        <v>174</v>
      </c>
      <c r="B158">
        <v>1</v>
      </c>
    </row>
    <row r="159" spans="1:2" x14ac:dyDescent="0.25">
      <c r="A159" s="45" t="s">
        <v>175</v>
      </c>
      <c r="B159">
        <v>1</v>
      </c>
    </row>
    <row r="160" spans="1:2" x14ac:dyDescent="0.25">
      <c r="A160" s="45" t="s">
        <v>176</v>
      </c>
      <c r="B160">
        <v>1</v>
      </c>
    </row>
    <row r="161" spans="1:2" x14ac:dyDescent="0.25">
      <c r="A161" s="45" t="s">
        <v>177</v>
      </c>
      <c r="B161">
        <v>1</v>
      </c>
    </row>
    <row r="162" spans="1:2" x14ac:dyDescent="0.25">
      <c r="A162" s="45" t="s">
        <v>178</v>
      </c>
      <c r="B162">
        <v>1</v>
      </c>
    </row>
    <row r="163" spans="1:2" x14ac:dyDescent="0.25">
      <c r="A163" s="45" t="s">
        <v>179</v>
      </c>
      <c r="B163">
        <v>1</v>
      </c>
    </row>
    <row r="164" spans="1:2" x14ac:dyDescent="0.25">
      <c r="A164" s="45" t="s">
        <v>180</v>
      </c>
      <c r="B164">
        <v>1</v>
      </c>
    </row>
    <row r="165" spans="1:2" x14ac:dyDescent="0.25">
      <c r="A165" s="45" t="s">
        <v>181</v>
      </c>
      <c r="B165">
        <v>1</v>
      </c>
    </row>
    <row r="166" spans="1:2" x14ac:dyDescent="0.25">
      <c r="A166" s="45" t="s">
        <v>182</v>
      </c>
      <c r="B166">
        <v>1</v>
      </c>
    </row>
    <row r="167" spans="1:2" x14ac:dyDescent="0.25">
      <c r="A167" s="45" t="s">
        <v>183</v>
      </c>
      <c r="B167">
        <v>1</v>
      </c>
    </row>
    <row r="168" spans="1:2" x14ac:dyDescent="0.25">
      <c r="A168" s="45" t="s">
        <v>198</v>
      </c>
      <c r="B168">
        <v>1</v>
      </c>
    </row>
    <row r="169" spans="1:2" x14ac:dyDescent="0.25">
      <c r="A169" s="45" t="s">
        <v>199</v>
      </c>
      <c r="B169">
        <v>1</v>
      </c>
    </row>
    <row r="170" spans="1:2" x14ac:dyDescent="0.25">
      <c r="A170" s="45" t="s">
        <v>200</v>
      </c>
      <c r="B170">
        <v>1</v>
      </c>
    </row>
    <row r="171" spans="1:2" x14ac:dyDescent="0.25">
      <c r="A171" s="45" t="s">
        <v>201</v>
      </c>
      <c r="B171">
        <v>1</v>
      </c>
    </row>
    <row r="172" spans="1:2" x14ac:dyDescent="0.25">
      <c r="A172" s="45" t="s">
        <v>202</v>
      </c>
      <c r="B172">
        <v>1</v>
      </c>
    </row>
    <row r="173" spans="1:2" x14ac:dyDescent="0.25">
      <c r="A173" s="45" t="s">
        <v>203</v>
      </c>
      <c r="B173">
        <v>1</v>
      </c>
    </row>
    <row r="174" spans="1:2" x14ac:dyDescent="0.25">
      <c r="A174" s="45" t="s">
        <v>204</v>
      </c>
      <c r="B174">
        <v>1</v>
      </c>
    </row>
    <row r="175" spans="1:2" x14ac:dyDescent="0.25">
      <c r="A175" s="45" t="s">
        <v>205</v>
      </c>
      <c r="B175">
        <v>1</v>
      </c>
    </row>
    <row r="176" spans="1:2" x14ac:dyDescent="0.25">
      <c r="A176" s="45" t="s">
        <v>206</v>
      </c>
      <c r="B176">
        <v>1</v>
      </c>
    </row>
    <row r="177" spans="1:2" x14ac:dyDescent="0.25">
      <c r="A177" s="45" t="s">
        <v>207</v>
      </c>
      <c r="B177">
        <v>1</v>
      </c>
    </row>
    <row r="178" spans="1:2" x14ac:dyDescent="0.25">
      <c r="A178" s="45" t="s">
        <v>208</v>
      </c>
      <c r="B178">
        <v>1</v>
      </c>
    </row>
    <row r="179" spans="1:2" x14ac:dyDescent="0.25">
      <c r="A179" s="45" t="s">
        <v>209</v>
      </c>
      <c r="B179">
        <v>1</v>
      </c>
    </row>
    <row r="180" spans="1:2" x14ac:dyDescent="0.25">
      <c r="A180" s="45" t="s">
        <v>210</v>
      </c>
      <c r="B180">
        <v>1</v>
      </c>
    </row>
    <row r="181" spans="1:2" x14ac:dyDescent="0.25">
      <c r="A181" s="45" t="s">
        <v>211</v>
      </c>
      <c r="B181">
        <v>1</v>
      </c>
    </row>
    <row r="182" spans="1:2" x14ac:dyDescent="0.25">
      <c r="A182" s="45" t="s">
        <v>233</v>
      </c>
      <c r="B182">
        <v>1</v>
      </c>
    </row>
    <row r="183" spans="1:2" x14ac:dyDescent="0.25">
      <c r="A183" s="45" t="s">
        <v>234</v>
      </c>
      <c r="B183">
        <v>1</v>
      </c>
    </row>
    <row r="184" spans="1:2" x14ac:dyDescent="0.25">
      <c r="A184" s="45" t="s">
        <v>235</v>
      </c>
      <c r="B184">
        <v>1</v>
      </c>
    </row>
    <row r="185" spans="1:2" x14ac:dyDescent="0.25">
      <c r="A185" s="45" t="s">
        <v>236</v>
      </c>
      <c r="B185">
        <v>1</v>
      </c>
    </row>
    <row r="186" spans="1:2" x14ac:dyDescent="0.25">
      <c r="A186" s="45" t="s">
        <v>237</v>
      </c>
      <c r="B186">
        <v>1</v>
      </c>
    </row>
    <row r="187" spans="1:2" x14ac:dyDescent="0.25">
      <c r="A187" s="45" t="s">
        <v>238</v>
      </c>
      <c r="B187">
        <v>1</v>
      </c>
    </row>
    <row r="188" spans="1:2" x14ac:dyDescent="0.25">
      <c r="A188" s="45" t="s">
        <v>247</v>
      </c>
      <c r="B188">
        <v>1</v>
      </c>
    </row>
    <row r="189" spans="1:2" x14ac:dyDescent="0.25">
      <c r="A189" s="45" t="s">
        <v>246</v>
      </c>
      <c r="B189">
        <v>1</v>
      </c>
    </row>
    <row r="190" spans="1:2" x14ac:dyDescent="0.25">
      <c r="A190" s="45" t="s">
        <v>248</v>
      </c>
      <c r="B190">
        <v>1</v>
      </c>
    </row>
    <row r="191" spans="1:2" x14ac:dyDescent="0.25">
      <c r="A191" s="45" t="s">
        <v>239</v>
      </c>
      <c r="B191">
        <v>1</v>
      </c>
    </row>
    <row r="192" spans="1:2" x14ac:dyDescent="0.25">
      <c r="A192" s="45" t="s">
        <v>241</v>
      </c>
      <c r="B192">
        <v>1</v>
      </c>
    </row>
    <row r="193" spans="1:2" x14ac:dyDescent="0.25">
      <c r="A193" s="45" t="s">
        <v>244</v>
      </c>
      <c r="B193">
        <v>1</v>
      </c>
    </row>
    <row r="194" spans="1:2" x14ac:dyDescent="0.25">
      <c r="A194" s="45" t="s">
        <v>249</v>
      </c>
      <c r="B194">
        <v>1</v>
      </c>
    </row>
    <row r="195" spans="1:2" x14ac:dyDescent="0.25">
      <c r="A195" s="45" t="s">
        <v>240</v>
      </c>
      <c r="B195">
        <v>1</v>
      </c>
    </row>
    <row r="196" spans="1:2" x14ac:dyDescent="0.25">
      <c r="A196" s="45" t="s">
        <v>250</v>
      </c>
      <c r="B196">
        <v>1</v>
      </c>
    </row>
    <row r="197" spans="1:2" x14ac:dyDescent="0.25">
      <c r="A197" s="45" t="s">
        <v>242</v>
      </c>
      <c r="B197">
        <v>1</v>
      </c>
    </row>
    <row r="198" spans="1:2" x14ac:dyDescent="0.25">
      <c r="A198" s="45" t="s">
        <v>251</v>
      </c>
      <c r="B198">
        <v>1</v>
      </c>
    </row>
    <row r="199" spans="1:2" x14ac:dyDescent="0.25">
      <c r="A199" s="45" t="s">
        <v>243</v>
      </c>
      <c r="B199">
        <v>1</v>
      </c>
    </row>
    <row r="200" spans="1:2" x14ac:dyDescent="0.25">
      <c r="A200" s="45" t="s">
        <v>252</v>
      </c>
      <c r="B200">
        <v>1</v>
      </c>
    </row>
    <row r="201" spans="1:2" x14ac:dyDescent="0.25">
      <c r="A201" s="45" t="s">
        <v>245</v>
      </c>
      <c r="B201">
        <v>1</v>
      </c>
    </row>
    <row r="202" spans="1:2" x14ac:dyDescent="0.25">
      <c r="A202" s="45" t="s">
        <v>260</v>
      </c>
      <c r="B202">
        <v>1</v>
      </c>
    </row>
    <row r="203" spans="1:2" x14ac:dyDescent="0.25">
      <c r="A203" s="45" t="s">
        <v>259</v>
      </c>
      <c r="B203">
        <v>1</v>
      </c>
    </row>
    <row r="204" spans="1:2" x14ac:dyDescent="0.25">
      <c r="A204" s="45" t="s">
        <v>261</v>
      </c>
      <c r="B204">
        <v>1</v>
      </c>
    </row>
    <row r="205" spans="1:2" x14ac:dyDescent="0.25">
      <c r="A205" s="45" t="s">
        <v>262</v>
      </c>
      <c r="B205">
        <v>1</v>
      </c>
    </row>
    <row r="206" spans="1:2" x14ac:dyDescent="0.25">
      <c r="A206" s="45" t="s">
        <v>253</v>
      </c>
      <c r="B206">
        <v>1</v>
      </c>
    </row>
    <row r="207" spans="1:2" x14ac:dyDescent="0.25">
      <c r="A207" s="45" t="s">
        <v>263</v>
      </c>
      <c r="B207">
        <v>1</v>
      </c>
    </row>
    <row r="208" spans="1:2" x14ac:dyDescent="0.25">
      <c r="A208" s="45" t="s">
        <v>254</v>
      </c>
      <c r="B208">
        <v>1</v>
      </c>
    </row>
    <row r="209" spans="1:2" x14ac:dyDescent="0.25">
      <c r="A209" s="45" t="s">
        <v>255</v>
      </c>
      <c r="B209">
        <v>1</v>
      </c>
    </row>
    <row r="210" spans="1:2" x14ac:dyDescent="0.25">
      <c r="A210" s="45" t="s">
        <v>264</v>
      </c>
      <c r="B210">
        <v>1</v>
      </c>
    </row>
    <row r="211" spans="1:2" x14ac:dyDescent="0.25">
      <c r="A211" s="45" t="s">
        <v>256</v>
      </c>
      <c r="B211">
        <v>1</v>
      </c>
    </row>
    <row r="212" spans="1:2" x14ac:dyDescent="0.25">
      <c r="A212" s="45" t="s">
        <v>265</v>
      </c>
      <c r="B212">
        <v>1</v>
      </c>
    </row>
    <row r="213" spans="1:2" x14ac:dyDescent="0.25">
      <c r="A213" s="45" t="s">
        <v>257</v>
      </c>
      <c r="B213">
        <v>1</v>
      </c>
    </row>
    <row r="214" spans="1:2" x14ac:dyDescent="0.25">
      <c r="A214" s="45" t="s">
        <v>266</v>
      </c>
      <c r="B214">
        <v>1</v>
      </c>
    </row>
    <row r="215" spans="1:2" x14ac:dyDescent="0.25">
      <c r="A215" s="45" t="s">
        <v>258</v>
      </c>
      <c r="B215">
        <v>1</v>
      </c>
    </row>
    <row r="216" spans="1:2" x14ac:dyDescent="0.25">
      <c r="A216" s="45" t="s">
        <v>275</v>
      </c>
      <c r="B216">
        <v>1</v>
      </c>
    </row>
    <row r="217" spans="1:2" x14ac:dyDescent="0.25">
      <c r="A217" s="45" t="s">
        <v>273</v>
      </c>
      <c r="B217">
        <v>1</v>
      </c>
    </row>
    <row r="218" spans="1:2" x14ac:dyDescent="0.25">
      <c r="A218" s="45" t="s">
        <v>276</v>
      </c>
      <c r="B218">
        <v>1</v>
      </c>
    </row>
    <row r="219" spans="1:2" x14ac:dyDescent="0.25">
      <c r="A219" s="45" t="s">
        <v>274</v>
      </c>
      <c r="B219">
        <v>1</v>
      </c>
    </row>
    <row r="220" spans="1:2" x14ac:dyDescent="0.25">
      <c r="A220" s="45" t="s">
        <v>277</v>
      </c>
      <c r="B220">
        <v>1</v>
      </c>
    </row>
    <row r="221" spans="1:2" x14ac:dyDescent="0.25">
      <c r="A221" s="45" t="s">
        <v>267</v>
      </c>
      <c r="B221">
        <v>1</v>
      </c>
    </row>
    <row r="222" spans="1:2" x14ac:dyDescent="0.25">
      <c r="A222" s="45" t="s">
        <v>278</v>
      </c>
      <c r="B222">
        <v>1</v>
      </c>
    </row>
    <row r="223" spans="1:2" x14ac:dyDescent="0.25">
      <c r="A223" s="45" t="s">
        <v>268</v>
      </c>
      <c r="B223">
        <v>1</v>
      </c>
    </row>
    <row r="224" spans="1:2" x14ac:dyDescent="0.25">
      <c r="A224" s="45" t="s">
        <v>269</v>
      </c>
      <c r="B224">
        <v>1</v>
      </c>
    </row>
    <row r="225" spans="1:2" x14ac:dyDescent="0.25">
      <c r="A225" s="45" t="s">
        <v>279</v>
      </c>
      <c r="B225">
        <v>1</v>
      </c>
    </row>
    <row r="226" spans="1:2" x14ac:dyDescent="0.25">
      <c r="A226" s="45" t="s">
        <v>270</v>
      </c>
      <c r="B226">
        <v>1</v>
      </c>
    </row>
    <row r="227" spans="1:2" x14ac:dyDescent="0.25">
      <c r="A227" s="45" t="s">
        <v>280</v>
      </c>
      <c r="B227">
        <v>1</v>
      </c>
    </row>
    <row r="228" spans="1:2" x14ac:dyDescent="0.25">
      <c r="A228" s="45" t="s">
        <v>271</v>
      </c>
      <c r="B228">
        <v>1</v>
      </c>
    </row>
    <row r="229" spans="1:2" x14ac:dyDescent="0.25">
      <c r="A229" s="45" t="s">
        <v>281</v>
      </c>
      <c r="B229">
        <v>1</v>
      </c>
    </row>
    <row r="230" spans="1:2" x14ac:dyDescent="0.25">
      <c r="A230" s="45" t="s">
        <v>272</v>
      </c>
      <c r="B230">
        <v>1</v>
      </c>
    </row>
    <row r="231" spans="1:2" x14ac:dyDescent="0.25">
      <c r="A231" s="45" t="s">
        <v>305</v>
      </c>
      <c r="B231">
        <v>1</v>
      </c>
    </row>
    <row r="232" spans="1:2" x14ac:dyDescent="0.25">
      <c r="A232" s="45" t="s">
        <v>303</v>
      </c>
      <c r="B232">
        <v>1</v>
      </c>
    </row>
    <row r="233" spans="1:2" x14ac:dyDescent="0.25">
      <c r="A233" s="45" t="s">
        <v>306</v>
      </c>
      <c r="B233">
        <v>1</v>
      </c>
    </row>
    <row r="234" spans="1:2" x14ac:dyDescent="0.25">
      <c r="A234" s="45" t="s">
        <v>304</v>
      </c>
      <c r="B234">
        <v>1</v>
      </c>
    </row>
    <row r="235" spans="1:2" x14ac:dyDescent="0.25">
      <c r="A235" s="45" t="s">
        <v>307</v>
      </c>
      <c r="B235">
        <v>1</v>
      </c>
    </row>
    <row r="236" spans="1:2" x14ac:dyDescent="0.25">
      <c r="A236" s="45" t="s">
        <v>297</v>
      </c>
      <c r="B236">
        <v>1</v>
      </c>
    </row>
    <row r="237" spans="1:2" x14ac:dyDescent="0.25">
      <c r="A237" s="45" t="s">
        <v>308</v>
      </c>
      <c r="B237">
        <v>1</v>
      </c>
    </row>
    <row r="238" spans="1:2" x14ac:dyDescent="0.25">
      <c r="A238" s="45" t="s">
        <v>298</v>
      </c>
      <c r="B238">
        <v>1</v>
      </c>
    </row>
    <row r="239" spans="1:2" x14ac:dyDescent="0.25">
      <c r="A239" s="45" t="s">
        <v>299</v>
      </c>
      <c r="B239">
        <v>1</v>
      </c>
    </row>
    <row r="240" spans="1:2" x14ac:dyDescent="0.25">
      <c r="A240" s="45" t="s">
        <v>309</v>
      </c>
      <c r="B240">
        <v>1</v>
      </c>
    </row>
    <row r="241" spans="1:2" x14ac:dyDescent="0.25">
      <c r="A241" s="45" t="s">
        <v>300</v>
      </c>
      <c r="B241">
        <v>1</v>
      </c>
    </row>
    <row r="242" spans="1:2" x14ac:dyDescent="0.25">
      <c r="A242" s="45" t="s">
        <v>310</v>
      </c>
      <c r="B242">
        <v>1</v>
      </c>
    </row>
    <row r="243" spans="1:2" x14ac:dyDescent="0.25">
      <c r="A243" s="45" t="s">
        <v>301</v>
      </c>
      <c r="B243">
        <v>1</v>
      </c>
    </row>
    <row r="244" spans="1:2" x14ac:dyDescent="0.25">
      <c r="A244" s="45" t="s">
        <v>311</v>
      </c>
      <c r="B244">
        <v>1</v>
      </c>
    </row>
    <row r="245" spans="1:2" x14ac:dyDescent="0.25">
      <c r="A245" s="45" t="s">
        <v>302</v>
      </c>
      <c r="B245">
        <v>1</v>
      </c>
    </row>
    <row r="246" spans="1:2" x14ac:dyDescent="0.25">
      <c r="A246" s="45" t="s">
        <v>335</v>
      </c>
      <c r="B246">
        <v>1</v>
      </c>
    </row>
    <row r="247" spans="1:2" x14ac:dyDescent="0.25">
      <c r="A247" s="45" t="s">
        <v>336</v>
      </c>
      <c r="B247">
        <v>1</v>
      </c>
    </row>
    <row r="248" spans="1:2" x14ac:dyDescent="0.25">
      <c r="A248" s="45" t="s">
        <v>337</v>
      </c>
      <c r="B248">
        <v>1</v>
      </c>
    </row>
    <row r="249" spans="1:2" x14ac:dyDescent="0.25">
      <c r="A249" s="45" t="s">
        <v>338</v>
      </c>
      <c r="B249">
        <v>1</v>
      </c>
    </row>
    <row r="250" spans="1:2" x14ac:dyDescent="0.25">
      <c r="A250" s="45" t="s">
        <v>339</v>
      </c>
      <c r="B250">
        <v>1</v>
      </c>
    </row>
    <row r="251" spans="1:2" x14ac:dyDescent="0.25">
      <c r="A251" s="45" t="s">
        <v>340</v>
      </c>
      <c r="B251">
        <v>1</v>
      </c>
    </row>
    <row r="252" spans="1:2" x14ac:dyDescent="0.25">
      <c r="A252" s="45" t="s">
        <v>341</v>
      </c>
      <c r="B252">
        <v>1</v>
      </c>
    </row>
    <row r="253" spans="1:2" x14ac:dyDescent="0.25">
      <c r="A253" s="45" t="s">
        <v>342</v>
      </c>
      <c r="B253">
        <v>1</v>
      </c>
    </row>
    <row r="254" spans="1:2" x14ac:dyDescent="0.25">
      <c r="A254" s="45" t="s">
        <v>343</v>
      </c>
      <c r="B254">
        <v>1</v>
      </c>
    </row>
    <row r="255" spans="1:2" x14ac:dyDescent="0.25">
      <c r="A255" s="45" t="s">
        <v>344</v>
      </c>
      <c r="B255">
        <v>1</v>
      </c>
    </row>
    <row r="256" spans="1:2" x14ac:dyDescent="0.25">
      <c r="A256" s="45" t="s">
        <v>345</v>
      </c>
      <c r="B256">
        <v>1</v>
      </c>
    </row>
    <row r="257" spans="1:2" x14ac:dyDescent="0.25">
      <c r="A257" s="45" t="s">
        <v>346</v>
      </c>
      <c r="B257">
        <v>1</v>
      </c>
    </row>
    <row r="258" spans="1:2" x14ac:dyDescent="0.25">
      <c r="A258" s="45" t="s">
        <v>347</v>
      </c>
      <c r="B258">
        <v>1</v>
      </c>
    </row>
    <row r="259" spans="1:2" x14ac:dyDescent="0.25">
      <c r="A259" s="45" t="s">
        <v>348</v>
      </c>
      <c r="B259">
        <v>1</v>
      </c>
    </row>
    <row r="260" spans="1:2" x14ac:dyDescent="0.25">
      <c r="A260" s="45" t="s">
        <v>349</v>
      </c>
      <c r="B260">
        <v>1</v>
      </c>
    </row>
    <row r="261" spans="1:2" x14ac:dyDescent="0.25">
      <c r="A261" s="45" t="s">
        <v>350</v>
      </c>
      <c r="B261">
        <v>1</v>
      </c>
    </row>
    <row r="262" spans="1:2" x14ac:dyDescent="0.25">
      <c r="A262" s="45" t="s">
        <v>351</v>
      </c>
      <c r="B262">
        <v>1</v>
      </c>
    </row>
    <row r="263" spans="1:2" x14ac:dyDescent="0.25">
      <c r="A263" s="45" t="s">
        <v>352</v>
      </c>
      <c r="B263">
        <v>1</v>
      </c>
    </row>
    <row r="264" spans="1:2" x14ac:dyDescent="0.25">
      <c r="A264" s="45" t="s">
        <v>353</v>
      </c>
      <c r="B264">
        <v>1</v>
      </c>
    </row>
    <row r="265" spans="1:2" x14ac:dyDescent="0.25">
      <c r="A265" s="45" t="s">
        <v>380</v>
      </c>
      <c r="B265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4531-6DD7-41B1-AB4A-F3703B435633}">
  <dimension ref="A1:A262"/>
  <sheetViews>
    <sheetView workbookViewId="0">
      <selection sqref="A1:A262"/>
    </sheetView>
  </sheetViews>
  <sheetFormatPr defaultRowHeight="15" x14ac:dyDescent="0.25"/>
  <cols>
    <col min="1" max="1" width="22.28515625" bestFit="1" customWidth="1"/>
  </cols>
  <sheetData>
    <row r="1" spans="1:1" x14ac:dyDescent="0.25">
      <c r="A1" t="s">
        <v>2</v>
      </c>
    </row>
    <row r="2" spans="1:1" x14ac:dyDescent="0.25">
      <c r="A2" t="s">
        <v>97</v>
      </c>
    </row>
    <row r="3" spans="1:1" x14ac:dyDescent="0.25">
      <c r="A3" t="s">
        <v>115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1" spans="1:1" x14ac:dyDescent="0.25">
      <c r="A31" t="s">
        <v>145</v>
      </c>
    </row>
    <row r="32" spans="1:1" x14ac:dyDescent="0.25">
      <c r="A32" t="s">
        <v>146</v>
      </c>
    </row>
    <row r="33" spans="1:1" x14ac:dyDescent="0.25">
      <c r="A33" t="s">
        <v>147</v>
      </c>
    </row>
    <row r="34" spans="1:1" x14ac:dyDescent="0.25">
      <c r="A34" t="s">
        <v>148</v>
      </c>
    </row>
    <row r="35" spans="1:1" x14ac:dyDescent="0.25">
      <c r="A35" t="s">
        <v>149</v>
      </c>
    </row>
    <row r="36" spans="1:1" x14ac:dyDescent="0.25">
      <c r="A36" t="s">
        <v>150</v>
      </c>
    </row>
    <row r="37" spans="1:1" x14ac:dyDescent="0.25">
      <c r="A37" t="s">
        <v>151</v>
      </c>
    </row>
    <row r="38" spans="1:1" x14ac:dyDescent="0.25">
      <c r="A38" t="s">
        <v>152</v>
      </c>
    </row>
    <row r="39" spans="1:1" x14ac:dyDescent="0.25">
      <c r="A39" t="s">
        <v>153</v>
      </c>
    </row>
    <row r="40" spans="1:1" x14ac:dyDescent="0.25">
      <c r="A40" t="s">
        <v>154</v>
      </c>
    </row>
    <row r="41" spans="1:1" x14ac:dyDescent="0.25">
      <c r="A41" t="s">
        <v>155</v>
      </c>
    </row>
    <row r="42" spans="1:1" x14ac:dyDescent="0.25">
      <c r="A42" t="s">
        <v>156</v>
      </c>
    </row>
    <row r="43" spans="1:1" x14ac:dyDescent="0.25">
      <c r="A43" t="s">
        <v>157</v>
      </c>
    </row>
    <row r="44" spans="1:1" x14ac:dyDescent="0.25">
      <c r="A44" t="s">
        <v>158</v>
      </c>
    </row>
    <row r="45" spans="1:1" x14ac:dyDescent="0.25">
      <c r="A45" t="s">
        <v>159</v>
      </c>
    </row>
    <row r="46" spans="1:1" x14ac:dyDescent="0.25">
      <c r="A46" t="s">
        <v>160</v>
      </c>
    </row>
    <row r="47" spans="1:1" x14ac:dyDescent="0.25">
      <c r="A47" t="s">
        <v>161</v>
      </c>
    </row>
    <row r="48" spans="1:1" x14ac:dyDescent="0.25">
      <c r="A48" t="s">
        <v>162</v>
      </c>
    </row>
    <row r="49" spans="1:1" x14ac:dyDescent="0.25">
      <c r="A49" t="s">
        <v>163</v>
      </c>
    </row>
    <row r="50" spans="1:1" x14ac:dyDescent="0.25">
      <c r="A50" t="s">
        <v>164</v>
      </c>
    </row>
    <row r="51" spans="1:1" x14ac:dyDescent="0.25">
      <c r="A51" t="s">
        <v>165</v>
      </c>
    </row>
    <row r="52" spans="1:1" x14ac:dyDescent="0.25">
      <c r="A52" t="s">
        <v>166</v>
      </c>
    </row>
    <row r="53" spans="1:1" x14ac:dyDescent="0.25">
      <c r="A53" t="s">
        <v>167</v>
      </c>
    </row>
    <row r="54" spans="1:1" x14ac:dyDescent="0.25">
      <c r="A54" t="s">
        <v>168</v>
      </c>
    </row>
    <row r="55" spans="1:1" x14ac:dyDescent="0.25">
      <c r="A55" t="s">
        <v>169</v>
      </c>
    </row>
    <row r="56" spans="1:1" x14ac:dyDescent="0.25">
      <c r="A56" t="s">
        <v>170</v>
      </c>
    </row>
    <row r="57" spans="1:1" x14ac:dyDescent="0.25">
      <c r="A57" t="s">
        <v>171</v>
      </c>
    </row>
    <row r="58" spans="1:1" x14ac:dyDescent="0.25">
      <c r="A58" t="s">
        <v>172</v>
      </c>
    </row>
    <row r="59" spans="1:1" x14ac:dyDescent="0.25">
      <c r="A59" t="s">
        <v>173</v>
      </c>
    </row>
    <row r="60" spans="1:1" x14ac:dyDescent="0.25">
      <c r="A60" t="s">
        <v>174</v>
      </c>
    </row>
    <row r="61" spans="1:1" x14ac:dyDescent="0.25">
      <c r="A61" t="s">
        <v>175</v>
      </c>
    </row>
    <row r="62" spans="1:1" x14ac:dyDescent="0.25">
      <c r="A62" t="s">
        <v>176</v>
      </c>
    </row>
    <row r="63" spans="1:1" x14ac:dyDescent="0.25">
      <c r="A63" t="s">
        <v>177</v>
      </c>
    </row>
    <row r="64" spans="1:1" x14ac:dyDescent="0.25">
      <c r="A64" t="s">
        <v>178</v>
      </c>
    </row>
    <row r="65" spans="1:1" x14ac:dyDescent="0.25">
      <c r="A65" t="s">
        <v>179</v>
      </c>
    </row>
    <row r="66" spans="1:1" x14ac:dyDescent="0.25">
      <c r="A66" t="s">
        <v>180</v>
      </c>
    </row>
    <row r="67" spans="1:1" x14ac:dyDescent="0.25">
      <c r="A67" t="s">
        <v>181</v>
      </c>
    </row>
    <row r="68" spans="1:1" x14ac:dyDescent="0.25">
      <c r="A68" t="s">
        <v>182</v>
      </c>
    </row>
    <row r="69" spans="1:1" x14ac:dyDescent="0.25">
      <c r="A69" t="s">
        <v>183</v>
      </c>
    </row>
    <row r="70" spans="1:1" x14ac:dyDescent="0.25">
      <c r="A70" t="s">
        <v>184</v>
      </c>
    </row>
    <row r="71" spans="1:1" x14ac:dyDescent="0.25">
      <c r="A71" t="s">
        <v>185</v>
      </c>
    </row>
    <row r="72" spans="1:1" x14ac:dyDescent="0.25">
      <c r="A72" t="s">
        <v>186</v>
      </c>
    </row>
    <row r="73" spans="1:1" x14ac:dyDescent="0.25">
      <c r="A73" t="s">
        <v>187</v>
      </c>
    </row>
    <row r="74" spans="1:1" x14ac:dyDescent="0.25">
      <c r="A74" t="s">
        <v>188</v>
      </c>
    </row>
    <row r="75" spans="1:1" x14ac:dyDescent="0.25">
      <c r="A75" t="s">
        <v>189</v>
      </c>
    </row>
    <row r="76" spans="1:1" x14ac:dyDescent="0.25">
      <c r="A76" t="s">
        <v>190</v>
      </c>
    </row>
    <row r="77" spans="1:1" x14ac:dyDescent="0.25">
      <c r="A77" t="s">
        <v>191</v>
      </c>
    </row>
    <row r="78" spans="1:1" x14ac:dyDescent="0.25">
      <c r="A78" t="s">
        <v>192</v>
      </c>
    </row>
    <row r="79" spans="1:1" x14ac:dyDescent="0.25">
      <c r="A79" t="s">
        <v>193</v>
      </c>
    </row>
    <row r="80" spans="1:1" x14ac:dyDescent="0.25">
      <c r="A80" t="s">
        <v>194</v>
      </c>
    </row>
    <row r="81" spans="1:1" x14ac:dyDescent="0.25">
      <c r="A81" t="s">
        <v>195</v>
      </c>
    </row>
    <row r="82" spans="1:1" x14ac:dyDescent="0.25">
      <c r="A82" t="s">
        <v>196</v>
      </c>
    </row>
    <row r="83" spans="1:1" x14ac:dyDescent="0.25">
      <c r="A83" t="s">
        <v>197</v>
      </c>
    </row>
    <row r="84" spans="1:1" x14ac:dyDescent="0.25">
      <c r="A84" t="s">
        <v>198</v>
      </c>
    </row>
    <row r="85" spans="1:1" x14ac:dyDescent="0.25">
      <c r="A85" t="s">
        <v>199</v>
      </c>
    </row>
    <row r="86" spans="1:1" x14ac:dyDescent="0.25">
      <c r="A86" t="s">
        <v>200</v>
      </c>
    </row>
    <row r="87" spans="1:1" x14ac:dyDescent="0.25">
      <c r="A87" t="s">
        <v>201</v>
      </c>
    </row>
    <row r="88" spans="1:1" x14ac:dyDescent="0.25">
      <c r="A88" t="s">
        <v>202</v>
      </c>
    </row>
    <row r="89" spans="1:1" x14ac:dyDescent="0.25">
      <c r="A89" t="s">
        <v>203</v>
      </c>
    </row>
    <row r="90" spans="1:1" x14ac:dyDescent="0.25">
      <c r="A90" t="s">
        <v>204</v>
      </c>
    </row>
    <row r="91" spans="1:1" x14ac:dyDescent="0.25">
      <c r="A91" t="s">
        <v>205</v>
      </c>
    </row>
    <row r="92" spans="1:1" x14ac:dyDescent="0.25">
      <c r="A92" t="s">
        <v>206</v>
      </c>
    </row>
    <row r="93" spans="1:1" x14ac:dyDescent="0.25">
      <c r="A93" t="s">
        <v>207</v>
      </c>
    </row>
    <row r="94" spans="1:1" x14ac:dyDescent="0.25">
      <c r="A94" t="s">
        <v>208</v>
      </c>
    </row>
    <row r="95" spans="1:1" x14ac:dyDescent="0.25">
      <c r="A95" t="s">
        <v>209</v>
      </c>
    </row>
    <row r="96" spans="1:1" x14ac:dyDescent="0.25">
      <c r="A96" t="s">
        <v>210</v>
      </c>
    </row>
    <row r="97" spans="1:1" x14ac:dyDescent="0.25">
      <c r="A97" t="s">
        <v>211</v>
      </c>
    </row>
    <row r="98" spans="1:1" x14ac:dyDescent="0.25">
      <c r="A98" t="s">
        <v>212</v>
      </c>
    </row>
    <row r="99" spans="1:1" x14ac:dyDescent="0.25">
      <c r="A99" t="s">
        <v>213</v>
      </c>
    </row>
    <row r="100" spans="1:1" x14ac:dyDescent="0.25">
      <c r="A100" t="s">
        <v>214</v>
      </c>
    </row>
    <row r="101" spans="1:1" x14ac:dyDescent="0.25">
      <c r="A101" t="s">
        <v>215</v>
      </c>
    </row>
    <row r="102" spans="1:1" x14ac:dyDescent="0.25">
      <c r="A102" t="s">
        <v>216</v>
      </c>
    </row>
    <row r="103" spans="1:1" x14ac:dyDescent="0.25">
      <c r="A103" t="s">
        <v>217</v>
      </c>
    </row>
    <row r="104" spans="1:1" x14ac:dyDescent="0.25">
      <c r="A104" t="s">
        <v>218</v>
      </c>
    </row>
    <row r="105" spans="1:1" x14ac:dyDescent="0.25">
      <c r="A105" t="s">
        <v>219</v>
      </c>
    </row>
    <row r="106" spans="1:1" x14ac:dyDescent="0.25">
      <c r="A106" t="s">
        <v>220</v>
      </c>
    </row>
    <row r="107" spans="1:1" x14ac:dyDescent="0.25">
      <c r="A107" t="s">
        <v>221</v>
      </c>
    </row>
    <row r="108" spans="1:1" x14ac:dyDescent="0.25">
      <c r="A108" t="s">
        <v>222</v>
      </c>
    </row>
    <row r="109" spans="1:1" x14ac:dyDescent="0.25">
      <c r="A109" t="s">
        <v>223</v>
      </c>
    </row>
    <row r="110" spans="1:1" x14ac:dyDescent="0.25">
      <c r="A110" t="s">
        <v>224</v>
      </c>
    </row>
    <row r="111" spans="1:1" x14ac:dyDescent="0.25">
      <c r="A111" t="s">
        <v>225</v>
      </c>
    </row>
    <row r="112" spans="1:1" x14ac:dyDescent="0.25">
      <c r="A112" t="s">
        <v>226</v>
      </c>
    </row>
    <row r="113" spans="1:1" x14ac:dyDescent="0.25">
      <c r="A113" t="s">
        <v>228</v>
      </c>
    </row>
    <row r="114" spans="1:1" x14ac:dyDescent="0.25">
      <c r="A114" t="s">
        <v>229</v>
      </c>
    </row>
    <row r="115" spans="1:1" x14ac:dyDescent="0.25">
      <c r="A115" t="s">
        <v>230</v>
      </c>
    </row>
    <row r="116" spans="1:1" x14ac:dyDescent="0.25">
      <c r="A116" t="s">
        <v>231</v>
      </c>
    </row>
    <row r="117" spans="1:1" x14ac:dyDescent="0.25">
      <c r="A117" t="s">
        <v>232</v>
      </c>
    </row>
    <row r="118" spans="1:1" x14ac:dyDescent="0.25">
      <c r="A118" t="s">
        <v>233</v>
      </c>
    </row>
    <row r="119" spans="1:1" x14ac:dyDescent="0.25">
      <c r="A119" t="s">
        <v>234</v>
      </c>
    </row>
    <row r="120" spans="1:1" x14ac:dyDescent="0.25">
      <c r="A120" t="s">
        <v>235</v>
      </c>
    </row>
    <row r="121" spans="1:1" x14ac:dyDescent="0.25">
      <c r="A121" t="s">
        <v>236</v>
      </c>
    </row>
    <row r="122" spans="1:1" x14ac:dyDescent="0.25">
      <c r="A122" t="s">
        <v>237</v>
      </c>
    </row>
    <row r="123" spans="1:1" x14ac:dyDescent="0.25">
      <c r="A123" t="s">
        <v>238</v>
      </c>
    </row>
    <row r="124" spans="1:1" x14ac:dyDescent="0.25">
      <c r="A124" t="s">
        <v>239</v>
      </c>
    </row>
    <row r="125" spans="1:1" x14ac:dyDescent="0.25">
      <c r="A125" t="s">
        <v>240</v>
      </c>
    </row>
    <row r="126" spans="1:1" x14ac:dyDescent="0.25">
      <c r="A126" t="s">
        <v>241</v>
      </c>
    </row>
    <row r="127" spans="1:1" x14ac:dyDescent="0.25">
      <c r="A127" t="s">
        <v>242</v>
      </c>
    </row>
    <row r="128" spans="1:1" x14ac:dyDescent="0.25">
      <c r="A128" t="s">
        <v>243</v>
      </c>
    </row>
    <row r="129" spans="1:1" x14ac:dyDescent="0.25">
      <c r="A129" t="s">
        <v>244</v>
      </c>
    </row>
    <row r="130" spans="1:1" x14ac:dyDescent="0.25">
      <c r="A130" t="s">
        <v>245</v>
      </c>
    </row>
    <row r="131" spans="1:1" x14ac:dyDescent="0.25">
      <c r="A131" t="s">
        <v>246</v>
      </c>
    </row>
    <row r="132" spans="1:1" x14ac:dyDescent="0.25">
      <c r="A132" t="s">
        <v>247</v>
      </c>
    </row>
    <row r="133" spans="1:1" x14ac:dyDescent="0.25">
      <c r="A133" t="s">
        <v>248</v>
      </c>
    </row>
    <row r="134" spans="1:1" x14ac:dyDescent="0.25">
      <c r="A134" t="s">
        <v>249</v>
      </c>
    </row>
    <row r="135" spans="1:1" x14ac:dyDescent="0.25">
      <c r="A135" t="s">
        <v>250</v>
      </c>
    </row>
    <row r="136" spans="1:1" x14ac:dyDescent="0.25">
      <c r="A136" t="s">
        <v>251</v>
      </c>
    </row>
    <row r="137" spans="1:1" x14ac:dyDescent="0.25">
      <c r="A137" t="s">
        <v>252</v>
      </c>
    </row>
    <row r="138" spans="1:1" x14ac:dyDescent="0.25">
      <c r="A138" t="s">
        <v>253</v>
      </c>
    </row>
    <row r="139" spans="1:1" x14ac:dyDescent="0.25">
      <c r="A139" t="s">
        <v>254</v>
      </c>
    </row>
    <row r="140" spans="1:1" x14ac:dyDescent="0.25">
      <c r="A140" t="s">
        <v>255</v>
      </c>
    </row>
    <row r="141" spans="1:1" x14ac:dyDescent="0.25">
      <c r="A141" t="s">
        <v>256</v>
      </c>
    </row>
    <row r="142" spans="1:1" x14ac:dyDescent="0.25">
      <c r="A142" t="s">
        <v>257</v>
      </c>
    </row>
    <row r="143" spans="1:1" x14ac:dyDescent="0.25">
      <c r="A143" t="s">
        <v>258</v>
      </c>
    </row>
    <row r="144" spans="1:1" x14ac:dyDescent="0.25">
      <c r="A144" t="s">
        <v>259</v>
      </c>
    </row>
    <row r="145" spans="1:1" x14ac:dyDescent="0.25">
      <c r="A145" t="s">
        <v>260</v>
      </c>
    </row>
    <row r="146" spans="1:1" x14ac:dyDescent="0.25">
      <c r="A146" t="s">
        <v>261</v>
      </c>
    </row>
    <row r="147" spans="1:1" x14ac:dyDescent="0.25">
      <c r="A147" t="s">
        <v>262</v>
      </c>
    </row>
    <row r="148" spans="1:1" x14ac:dyDescent="0.25">
      <c r="A148" t="s">
        <v>263</v>
      </c>
    </row>
    <row r="149" spans="1:1" x14ac:dyDescent="0.25">
      <c r="A149" t="s">
        <v>264</v>
      </c>
    </row>
    <row r="150" spans="1:1" x14ac:dyDescent="0.25">
      <c r="A150" t="s">
        <v>265</v>
      </c>
    </row>
    <row r="151" spans="1:1" x14ac:dyDescent="0.25">
      <c r="A151" t="s">
        <v>266</v>
      </c>
    </row>
    <row r="152" spans="1:1" x14ac:dyDescent="0.25">
      <c r="A152" t="s">
        <v>267</v>
      </c>
    </row>
    <row r="153" spans="1:1" x14ac:dyDescent="0.25">
      <c r="A153" t="s">
        <v>268</v>
      </c>
    </row>
    <row r="154" spans="1:1" x14ac:dyDescent="0.25">
      <c r="A154" t="s">
        <v>269</v>
      </c>
    </row>
    <row r="155" spans="1:1" x14ac:dyDescent="0.25">
      <c r="A155" t="s">
        <v>270</v>
      </c>
    </row>
    <row r="156" spans="1:1" x14ac:dyDescent="0.25">
      <c r="A156" t="s">
        <v>271</v>
      </c>
    </row>
    <row r="157" spans="1:1" x14ac:dyDescent="0.25">
      <c r="A157" t="s">
        <v>272</v>
      </c>
    </row>
    <row r="158" spans="1:1" x14ac:dyDescent="0.25">
      <c r="A158" t="s">
        <v>273</v>
      </c>
    </row>
    <row r="159" spans="1:1" x14ac:dyDescent="0.25">
      <c r="A159" t="s">
        <v>274</v>
      </c>
    </row>
    <row r="160" spans="1:1" x14ac:dyDescent="0.25">
      <c r="A160" t="s">
        <v>275</v>
      </c>
    </row>
    <row r="161" spans="1:1" x14ac:dyDescent="0.25">
      <c r="A161" t="s">
        <v>276</v>
      </c>
    </row>
    <row r="162" spans="1:1" x14ac:dyDescent="0.25">
      <c r="A162" t="s">
        <v>277</v>
      </c>
    </row>
    <row r="163" spans="1:1" x14ac:dyDescent="0.25">
      <c r="A163" t="s">
        <v>278</v>
      </c>
    </row>
    <row r="164" spans="1:1" x14ac:dyDescent="0.25">
      <c r="A164" t="s">
        <v>279</v>
      </c>
    </row>
    <row r="165" spans="1:1" x14ac:dyDescent="0.25">
      <c r="A165" t="s">
        <v>280</v>
      </c>
    </row>
    <row r="166" spans="1:1" x14ac:dyDescent="0.25">
      <c r="A166" t="s">
        <v>281</v>
      </c>
    </row>
    <row r="167" spans="1:1" x14ac:dyDescent="0.25">
      <c r="A167" t="s">
        <v>282</v>
      </c>
    </row>
    <row r="168" spans="1:1" x14ac:dyDescent="0.25">
      <c r="A168" t="s">
        <v>283</v>
      </c>
    </row>
    <row r="169" spans="1:1" x14ac:dyDescent="0.25">
      <c r="A169" t="s">
        <v>284</v>
      </c>
    </row>
    <row r="170" spans="1:1" x14ac:dyDescent="0.25">
      <c r="A170" t="s">
        <v>285</v>
      </c>
    </row>
    <row r="171" spans="1:1" x14ac:dyDescent="0.25">
      <c r="A171" t="s">
        <v>286</v>
      </c>
    </row>
    <row r="172" spans="1:1" x14ac:dyDescent="0.25">
      <c r="A172" t="s">
        <v>287</v>
      </c>
    </row>
    <row r="173" spans="1:1" x14ac:dyDescent="0.25">
      <c r="A173" t="s">
        <v>288</v>
      </c>
    </row>
    <row r="174" spans="1:1" x14ac:dyDescent="0.25">
      <c r="A174" t="s">
        <v>289</v>
      </c>
    </row>
    <row r="175" spans="1:1" x14ac:dyDescent="0.25">
      <c r="A175" t="s">
        <v>290</v>
      </c>
    </row>
    <row r="176" spans="1:1" x14ac:dyDescent="0.25">
      <c r="A176" t="s">
        <v>291</v>
      </c>
    </row>
    <row r="177" spans="1:1" x14ac:dyDescent="0.25">
      <c r="A177" t="s">
        <v>292</v>
      </c>
    </row>
    <row r="178" spans="1:1" x14ac:dyDescent="0.25">
      <c r="A178" t="s">
        <v>293</v>
      </c>
    </row>
    <row r="179" spans="1:1" x14ac:dyDescent="0.25">
      <c r="A179" t="s">
        <v>294</v>
      </c>
    </row>
    <row r="180" spans="1:1" x14ac:dyDescent="0.25">
      <c r="A180" t="s">
        <v>295</v>
      </c>
    </row>
    <row r="181" spans="1:1" x14ac:dyDescent="0.25">
      <c r="A181" t="s">
        <v>296</v>
      </c>
    </row>
    <row r="182" spans="1:1" x14ac:dyDescent="0.25">
      <c r="A182" t="s">
        <v>297</v>
      </c>
    </row>
    <row r="183" spans="1:1" x14ac:dyDescent="0.25">
      <c r="A183" t="s">
        <v>298</v>
      </c>
    </row>
    <row r="184" spans="1:1" x14ac:dyDescent="0.25">
      <c r="A184" t="s">
        <v>299</v>
      </c>
    </row>
    <row r="185" spans="1:1" x14ac:dyDescent="0.25">
      <c r="A185" t="s">
        <v>300</v>
      </c>
    </row>
    <row r="186" spans="1:1" x14ac:dyDescent="0.25">
      <c r="A186" t="s">
        <v>301</v>
      </c>
    </row>
    <row r="187" spans="1:1" x14ac:dyDescent="0.25">
      <c r="A187" t="s">
        <v>302</v>
      </c>
    </row>
    <row r="188" spans="1:1" x14ac:dyDescent="0.25">
      <c r="A188" t="s">
        <v>303</v>
      </c>
    </row>
    <row r="189" spans="1:1" x14ac:dyDescent="0.25">
      <c r="A189" t="s">
        <v>304</v>
      </c>
    </row>
    <row r="190" spans="1:1" x14ac:dyDescent="0.25">
      <c r="A190" t="s">
        <v>305</v>
      </c>
    </row>
    <row r="191" spans="1:1" x14ac:dyDescent="0.25">
      <c r="A191" t="s">
        <v>306</v>
      </c>
    </row>
    <row r="192" spans="1:1" x14ac:dyDescent="0.25">
      <c r="A192" t="s">
        <v>307</v>
      </c>
    </row>
    <row r="193" spans="1:1" x14ac:dyDescent="0.25">
      <c r="A193" t="s">
        <v>308</v>
      </c>
    </row>
    <row r="194" spans="1:1" x14ac:dyDescent="0.25">
      <c r="A194" t="s">
        <v>309</v>
      </c>
    </row>
    <row r="195" spans="1:1" x14ac:dyDescent="0.25">
      <c r="A195" t="s">
        <v>310</v>
      </c>
    </row>
    <row r="196" spans="1:1" x14ac:dyDescent="0.25">
      <c r="A196" t="s">
        <v>311</v>
      </c>
    </row>
    <row r="197" spans="1:1" x14ac:dyDescent="0.25">
      <c r="A197" t="s">
        <v>312</v>
      </c>
    </row>
    <row r="198" spans="1:1" x14ac:dyDescent="0.25">
      <c r="A198" t="s">
        <v>313</v>
      </c>
    </row>
    <row r="199" spans="1:1" x14ac:dyDescent="0.25">
      <c r="A199" t="s">
        <v>314</v>
      </c>
    </row>
    <row r="200" spans="1:1" x14ac:dyDescent="0.25">
      <c r="A200" t="s">
        <v>315</v>
      </c>
    </row>
    <row r="201" spans="1:1" x14ac:dyDescent="0.25">
      <c r="A201" t="s">
        <v>316</v>
      </c>
    </row>
    <row r="202" spans="1:1" x14ac:dyDescent="0.25">
      <c r="A202" t="s">
        <v>317</v>
      </c>
    </row>
    <row r="203" spans="1:1" x14ac:dyDescent="0.25">
      <c r="A203" t="s">
        <v>318</v>
      </c>
    </row>
    <row r="204" spans="1:1" x14ac:dyDescent="0.25">
      <c r="A204" t="s">
        <v>319</v>
      </c>
    </row>
    <row r="205" spans="1:1" x14ac:dyDescent="0.25">
      <c r="A205" t="s">
        <v>320</v>
      </c>
    </row>
    <row r="206" spans="1:1" x14ac:dyDescent="0.25">
      <c r="A206" t="s">
        <v>321</v>
      </c>
    </row>
    <row r="207" spans="1:1" x14ac:dyDescent="0.25">
      <c r="A207" t="s">
        <v>322</v>
      </c>
    </row>
    <row r="208" spans="1:1" x14ac:dyDescent="0.25">
      <c r="A208" t="s">
        <v>323</v>
      </c>
    </row>
    <row r="209" spans="1:1" x14ac:dyDescent="0.25">
      <c r="A209" t="s">
        <v>324</v>
      </c>
    </row>
    <row r="210" spans="1:1" x14ac:dyDescent="0.25">
      <c r="A210" t="s">
        <v>325</v>
      </c>
    </row>
    <row r="211" spans="1:1" x14ac:dyDescent="0.25">
      <c r="A211" t="s">
        <v>326</v>
      </c>
    </row>
    <row r="212" spans="1:1" x14ac:dyDescent="0.25">
      <c r="A212" t="s">
        <v>327</v>
      </c>
    </row>
    <row r="213" spans="1:1" x14ac:dyDescent="0.25">
      <c r="A213" t="s">
        <v>328</v>
      </c>
    </row>
    <row r="214" spans="1:1" x14ac:dyDescent="0.25">
      <c r="A214" t="s">
        <v>329</v>
      </c>
    </row>
    <row r="215" spans="1:1" x14ac:dyDescent="0.25">
      <c r="A215" t="s">
        <v>330</v>
      </c>
    </row>
    <row r="216" spans="1:1" x14ac:dyDescent="0.25">
      <c r="A216" t="s">
        <v>331</v>
      </c>
    </row>
    <row r="217" spans="1:1" x14ac:dyDescent="0.25">
      <c r="A217" t="s">
        <v>332</v>
      </c>
    </row>
    <row r="218" spans="1:1" x14ac:dyDescent="0.25">
      <c r="A218" t="s">
        <v>333</v>
      </c>
    </row>
    <row r="219" spans="1:1" x14ac:dyDescent="0.25">
      <c r="A219" t="s">
        <v>334</v>
      </c>
    </row>
    <row r="220" spans="1:1" x14ac:dyDescent="0.25">
      <c r="A220" t="s">
        <v>335</v>
      </c>
    </row>
    <row r="221" spans="1:1" x14ac:dyDescent="0.25">
      <c r="A221" t="s">
        <v>336</v>
      </c>
    </row>
    <row r="222" spans="1:1" x14ac:dyDescent="0.25">
      <c r="A222" t="s">
        <v>337</v>
      </c>
    </row>
    <row r="223" spans="1:1" x14ac:dyDescent="0.25">
      <c r="A223" t="s">
        <v>338</v>
      </c>
    </row>
    <row r="224" spans="1:1" x14ac:dyDescent="0.25">
      <c r="A224" t="s">
        <v>339</v>
      </c>
    </row>
    <row r="225" spans="1:1" x14ac:dyDescent="0.25">
      <c r="A225" t="s">
        <v>340</v>
      </c>
    </row>
    <row r="226" spans="1:1" x14ac:dyDescent="0.25">
      <c r="A226" t="s">
        <v>341</v>
      </c>
    </row>
    <row r="227" spans="1:1" x14ac:dyDescent="0.25">
      <c r="A227" t="s">
        <v>342</v>
      </c>
    </row>
    <row r="228" spans="1:1" x14ac:dyDescent="0.25">
      <c r="A228" t="s">
        <v>343</v>
      </c>
    </row>
    <row r="229" spans="1:1" x14ac:dyDescent="0.25">
      <c r="A229" t="s">
        <v>344</v>
      </c>
    </row>
    <row r="230" spans="1:1" x14ac:dyDescent="0.25">
      <c r="A230" t="s">
        <v>345</v>
      </c>
    </row>
    <row r="231" spans="1:1" x14ac:dyDescent="0.25">
      <c r="A231" t="s">
        <v>346</v>
      </c>
    </row>
    <row r="232" spans="1:1" x14ac:dyDescent="0.25">
      <c r="A232" t="s">
        <v>347</v>
      </c>
    </row>
    <row r="233" spans="1:1" x14ac:dyDescent="0.25">
      <c r="A233" t="s">
        <v>348</v>
      </c>
    </row>
    <row r="234" spans="1:1" x14ac:dyDescent="0.25">
      <c r="A234" t="s">
        <v>349</v>
      </c>
    </row>
    <row r="235" spans="1:1" x14ac:dyDescent="0.25">
      <c r="A235" t="s">
        <v>350</v>
      </c>
    </row>
    <row r="236" spans="1:1" x14ac:dyDescent="0.25">
      <c r="A236" t="s">
        <v>351</v>
      </c>
    </row>
    <row r="237" spans="1:1" x14ac:dyDescent="0.25">
      <c r="A237" t="s">
        <v>352</v>
      </c>
    </row>
    <row r="238" spans="1:1" x14ac:dyDescent="0.25">
      <c r="A238" t="s">
        <v>353</v>
      </c>
    </row>
    <row r="239" spans="1:1" x14ac:dyDescent="0.25">
      <c r="A239" t="s">
        <v>354</v>
      </c>
    </row>
    <row r="240" spans="1:1" x14ac:dyDescent="0.25">
      <c r="A240" t="s">
        <v>355</v>
      </c>
    </row>
    <row r="241" spans="1:1" x14ac:dyDescent="0.25">
      <c r="A241" t="s">
        <v>356</v>
      </c>
    </row>
    <row r="242" spans="1:1" x14ac:dyDescent="0.25">
      <c r="A242" t="s">
        <v>357</v>
      </c>
    </row>
    <row r="243" spans="1:1" x14ac:dyDescent="0.25">
      <c r="A243" t="s">
        <v>358</v>
      </c>
    </row>
    <row r="244" spans="1:1" x14ac:dyDescent="0.25">
      <c r="A244" t="s">
        <v>359</v>
      </c>
    </row>
    <row r="245" spans="1:1" x14ac:dyDescent="0.25">
      <c r="A245" t="s">
        <v>360</v>
      </c>
    </row>
    <row r="246" spans="1:1" x14ac:dyDescent="0.25">
      <c r="A246" t="s">
        <v>361</v>
      </c>
    </row>
    <row r="247" spans="1:1" x14ac:dyDescent="0.25">
      <c r="A247" t="s">
        <v>362</v>
      </c>
    </row>
    <row r="248" spans="1:1" x14ac:dyDescent="0.25">
      <c r="A248" t="s">
        <v>363</v>
      </c>
    </row>
    <row r="249" spans="1:1" x14ac:dyDescent="0.25">
      <c r="A249" t="s">
        <v>364</v>
      </c>
    </row>
    <row r="250" spans="1:1" x14ac:dyDescent="0.25">
      <c r="A250" t="s">
        <v>365</v>
      </c>
    </row>
    <row r="251" spans="1:1" x14ac:dyDescent="0.25">
      <c r="A251" t="s">
        <v>366</v>
      </c>
    </row>
    <row r="252" spans="1:1" x14ac:dyDescent="0.25">
      <c r="A252" t="s">
        <v>367</v>
      </c>
    </row>
    <row r="253" spans="1:1" x14ac:dyDescent="0.25">
      <c r="A253" t="s">
        <v>368</v>
      </c>
    </row>
    <row r="254" spans="1:1" x14ac:dyDescent="0.25">
      <c r="A254" t="s">
        <v>369</v>
      </c>
    </row>
    <row r="255" spans="1:1" x14ac:dyDescent="0.25">
      <c r="A255" t="s">
        <v>370</v>
      </c>
    </row>
    <row r="256" spans="1:1" x14ac:dyDescent="0.25">
      <c r="A256" t="s">
        <v>371</v>
      </c>
    </row>
    <row r="257" spans="1:1" x14ac:dyDescent="0.25">
      <c r="A257" t="s">
        <v>372</v>
      </c>
    </row>
    <row r="258" spans="1:1" x14ac:dyDescent="0.25">
      <c r="A258" t="s">
        <v>373</v>
      </c>
    </row>
    <row r="259" spans="1:1" x14ac:dyDescent="0.25">
      <c r="A259" t="s">
        <v>374</v>
      </c>
    </row>
    <row r="260" spans="1:1" x14ac:dyDescent="0.25">
      <c r="A260" t="s">
        <v>375</v>
      </c>
    </row>
    <row r="261" spans="1:1" x14ac:dyDescent="0.25">
      <c r="A261" t="s">
        <v>376</v>
      </c>
    </row>
    <row r="262" spans="1:1" x14ac:dyDescent="0.25">
      <c r="A262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B1FD-4ACE-40CA-995A-4A6B02149417}">
  <dimension ref="A1:T204"/>
  <sheetViews>
    <sheetView topLeftCell="DV67" zoomScale="110" zoomScaleNormal="110" workbookViewId="0">
      <selection activeCell="H237" sqref="H237"/>
    </sheetView>
  </sheetViews>
  <sheetFormatPr defaultColWidth="10.85546875" defaultRowHeight="15" x14ac:dyDescent="0.25"/>
  <cols>
    <col min="1" max="1" width="0" style="23" hidden="1" customWidth="1"/>
    <col min="2" max="2" width="11.42578125" style="23" hidden="1" customWidth="1"/>
    <col min="3" max="15" width="0" style="23" hidden="1" customWidth="1"/>
    <col min="16" max="16" width="15.85546875" style="23" hidden="1" customWidth="1"/>
    <col min="17" max="17" width="0" style="23" hidden="1" customWidth="1"/>
    <col min="18" max="16384" width="10.85546875" style="23"/>
  </cols>
  <sheetData>
    <row r="1" spans="1:20" x14ac:dyDescent="0.25">
      <c r="A1" s="21"/>
      <c r="B1" s="55" t="s">
        <v>1</v>
      </c>
      <c r="C1" s="56"/>
      <c r="D1" s="56"/>
      <c r="E1" s="56"/>
      <c r="F1" s="56"/>
      <c r="G1" s="56"/>
      <c r="H1" s="52"/>
      <c r="I1" s="52"/>
      <c r="J1" s="22"/>
      <c r="K1" s="22"/>
      <c r="L1" s="59" t="s">
        <v>381</v>
      </c>
      <c r="M1" s="60"/>
      <c r="N1" s="60"/>
      <c r="O1" s="22"/>
      <c r="P1" s="22"/>
      <c r="Q1" s="22"/>
    </row>
    <row r="2" spans="1:20" x14ac:dyDescent="0.25">
      <c r="A2" s="21"/>
      <c r="B2" s="57"/>
      <c r="C2" s="58"/>
      <c r="D2" s="58"/>
      <c r="E2" s="58"/>
      <c r="F2" s="58"/>
      <c r="G2" s="58"/>
      <c r="H2" s="53"/>
      <c r="I2" s="53"/>
      <c r="J2" s="22"/>
      <c r="K2" s="22"/>
      <c r="L2" s="61"/>
      <c r="M2" s="50"/>
      <c r="N2" s="50"/>
      <c r="O2" s="22"/>
      <c r="P2" s="25"/>
      <c r="S2" s="26"/>
      <c r="T2" s="26"/>
    </row>
    <row r="3" spans="1:20" x14ac:dyDescent="0.25">
      <c r="A3" s="62" t="s">
        <v>382</v>
      </c>
      <c r="B3" s="62" t="s">
        <v>383</v>
      </c>
      <c r="C3" s="62"/>
      <c r="D3" s="62"/>
      <c r="E3" s="62"/>
      <c r="F3" s="62"/>
      <c r="G3" s="27"/>
      <c r="H3" s="28"/>
      <c r="I3" s="62" t="s">
        <v>384</v>
      </c>
      <c r="J3" s="50" t="s">
        <v>385</v>
      </c>
      <c r="K3" s="22"/>
      <c r="L3" s="64" t="s">
        <v>383</v>
      </c>
      <c r="M3" s="64"/>
      <c r="N3" s="64"/>
      <c r="O3" s="22"/>
      <c r="P3" s="50" t="s">
        <v>386</v>
      </c>
      <c r="S3" s="51" t="s">
        <v>387</v>
      </c>
      <c r="T3" s="51"/>
    </row>
    <row r="4" spans="1:20" x14ac:dyDescent="0.25">
      <c r="A4" s="63"/>
      <c r="B4" s="31" t="s">
        <v>388</v>
      </c>
      <c r="C4" s="31" t="s">
        <v>389</v>
      </c>
      <c r="D4" s="31" t="s">
        <v>390</v>
      </c>
      <c r="E4" s="31" t="s">
        <v>391</v>
      </c>
      <c r="F4" s="31" t="s">
        <v>392</v>
      </c>
      <c r="G4" s="31" t="s">
        <v>393</v>
      </c>
      <c r="H4" s="31"/>
      <c r="I4" s="63"/>
      <c r="J4" s="50"/>
      <c r="K4" s="22"/>
      <c r="L4" s="24" t="s">
        <v>394</v>
      </c>
      <c r="M4" s="32" t="s">
        <v>395</v>
      </c>
      <c r="N4" s="22" t="s">
        <v>396</v>
      </c>
      <c r="O4" s="32" t="s">
        <v>397</v>
      </c>
      <c r="P4" s="50"/>
      <c r="S4" s="51"/>
      <c r="T4" s="51"/>
    </row>
    <row r="5" spans="1:20" x14ac:dyDescent="0.25">
      <c r="A5" s="33" t="s">
        <v>398</v>
      </c>
      <c r="B5" s="29"/>
      <c r="C5" s="29"/>
      <c r="D5" s="29"/>
      <c r="E5" s="29"/>
      <c r="F5" s="29"/>
      <c r="G5" s="29"/>
      <c r="H5" s="32"/>
      <c r="I5" s="63"/>
      <c r="J5" s="25"/>
      <c r="K5" s="22"/>
      <c r="L5" s="34" t="s">
        <v>399</v>
      </c>
      <c r="M5" s="34" t="s">
        <v>400</v>
      </c>
      <c r="N5" s="34" t="s">
        <v>401</v>
      </c>
      <c r="O5" s="34" t="s">
        <v>402</v>
      </c>
      <c r="P5" s="25"/>
      <c r="S5" s="51"/>
      <c r="T5" s="51"/>
    </row>
    <row r="6" spans="1:20" ht="25.5" x14ac:dyDescent="0.25">
      <c r="A6" s="35" t="s">
        <v>403</v>
      </c>
      <c r="B6" s="36">
        <v>8.3000000000000007</v>
      </c>
      <c r="C6" s="36">
        <v>8.5</v>
      </c>
      <c r="D6" s="36">
        <v>8.6</v>
      </c>
      <c r="E6" s="32">
        <v>8.5</v>
      </c>
      <c r="F6" s="32">
        <v>9</v>
      </c>
      <c r="G6" s="32">
        <v>8.6999999999999993</v>
      </c>
      <c r="H6" s="52"/>
      <c r="I6" s="52"/>
      <c r="J6" s="32">
        <f>AVERAGE(B6:G6)</f>
        <v>8.6</v>
      </c>
      <c r="K6" s="22"/>
      <c r="L6" s="32">
        <v>8.8000000000000007</v>
      </c>
      <c r="M6" s="32" t="s">
        <v>404</v>
      </c>
      <c r="N6" s="32">
        <v>9</v>
      </c>
      <c r="O6" s="22">
        <v>8.6999999999999993</v>
      </c>
      <c r="P6" s="32">
        <f>AVERAGE(H6:M6)</f>
        <v>8.6999999999999993</v>
      </c>
      <c r="S6" s="35" t="s">
        <v>403</v>
      </c>
      <c r="T6" s="23">
        <f t="shared" ref="T6:T12" si="0">AVERAGE(J6,P6)</f>
        <v>8.6499999999999986</v>
      </c>
    </row>
    <row r="7" spans="1:20" ht="51" x14ac:dyDescent="0.25">
      <c r="A7" s="35" t="s">
        <v>405</v>
      </c>
      <c r="B7" s="36">
        <v>5.47</v>
      </c>
      <c r="C7" s="36">
        <v>5.42</v>
      </c>
      <c r="D7" s="36">
        <v>1.1499999999999999</v>
      </c>
      <c r="E7" s="32">
        <v>2.89</v>
      </c>
      <c r="F7" s="32">
        <v>3.63</v>
      </c>
      <c r="G7" s="32">
        <v>5.1100000000000003</v>
      </c>
      <c r="H7" s="22"/>
      <c r="I7" s="37" t="s">
        <v>406</v>
      </c>
      <c r="J7" s="32">
        <f t="shared" ref="J7:J16" si="1">AVERAGE(B7:G7)</f>
        <v>3.9450000000000003</v>
      </c>
      <c r="K7" s="22"/>
      <c r="L7" s="32">
        <v>3.27</v>
      </c>
      <c r="M7" s="32" t="s">
        <v>404</v>
      </c>
      <c r="N7" s="32">
        <v>4.54</v>
      </c>
      <c r="O7" s="22">
        <v>1.18</v>
      </c>
      <c r="P7" s="32">
        <f t="shared" ref="P7:P16" si="2">AVERAGE(H7:M7)</f>
        <v>3.6074999999999999</v>
      </c>
      <c r="S7" s="35" t="s">
        <v>405</v>
      </c>
      <c r="T7" s="23">
        <f t="shared" si="0"/>
        <v>3.7762500000000001</v>
      </c>
    </row>
    <row r="8" spans="1:20" ht="38.25" x14ac:dyDescent="0.25">
      <c r="A8" s="35" t="s">
        <v>407</v>
      </c>
      <c r="B8" s="36">
        <v>24.6</v>
      </c>
      <c r="C8" s="36">
        <v>35.200000000000003</v>
      </c>
      <c r="D8" s="36">
        <v>29.6</v>
      </c>
      <c r="E8" s="32">
        <v>28.7</v>
      </c>
      <c r="F8" s="32">
        <v>38.9</v>
      </c>
      <c r="G8" s="32">
        <v>30.1</v>
      </c>
      <c r="H8" s="22"/>
      <c r="I8" s="37" t="s">
        <v>408</v>
      </c>
      <c r="J8" s="32">
        <f t="shared" si="1"/>
        <v>31.183333333333334</v>
      </c>
      <c r="K8" s="22"/>
      <c r="L8" s="32">
        <v>29.1</v>
      </c>
      <c r="M8" s="32" t="s">
        <v>404</v>
      </c>
      <c r="N8" s="32">
        <v>32</v>
      </c>
      <c r="O8" s="22">
        <v>25.4</v>
      </c>
      <c r="P8" s="32">
        <f t="shared" si="2"/>
        <v>30.141666666666666</v>
      </c>
      <c r="S8" s="35" t="s">
        <v>407</v>
      </c>
      <c r="T8" s="23">
        <f t="shared" si="0"/>
        <v>30.662500000000001</v>
      </c>
    </row>
    <row r="9" spans="1:20" ht="38.25" x14ac:dyDescent="0.25">
      <c r="A9" s="35" t="s">
        <v>409</v>
      </c>
      <c r="B9" s="36">
        <v>70.5</v>
      </c>
      <c r="C9" s="36">
        <v>62.9</v>
      </c>
      <c r="D9" s="36">
        <v>52.9</v>
      </c>
      <c r="E9" s="32">
        <v>68.7</v>
      </c>
      <c r="F9" s="32">
        <v>26</v>
      </c>
      <c r="G9" s="32">
        <v>49.5</v>
      </c>
      <c r="H9" s="22"/>
      <c r="I9" s="37" t="s">
        <v>410</v>
      </c>
      <c r="J9" s="32">
        <f t="shared" si="1"/>
        <v>55.083333333333336</v>
      </c>
      <c r="K9" s="22"/>
      <c r="L9" s="32">
        <v>84.1</v>
      </c>
      <c r="M9" s="32" t="s">
        <v>404</v>
      </c>
      <c r="N9" s="32">
        <v>73.900000000000006</v>
      </c>
      <c r="O9" s="22">
        <v>84.4</v>
      </c>
      <c r="P9" s="32">
        <f t="shared" si="2"/>
        <v>69.591666666666669</v>
      </c>
      <c r="S9" s="35" t="s">
        <v>409</v>
      </c>
      <c r="T9" s="23">
        <f t="shared" si="0"/>
        <v>62.337500000000006</v>
      </c>
    </row>
    <row r="10" spans="1:20" ht="25.5" x14ac:dyDescent="0.25">
      <c r="A10" s="35" t="s">
        <v>411</v>
      </c>
      <c r="B10" s="36">
        <v>2.5499999999999998</v>
      </c>
      <c r="C10" s="36">
        <v>2.97</v>
      </c>
      <c r="D10" s="36">
        <v>2.21</v>
      </c>
      <c r="E10" s="32">
        <v>2.27</v>
      </c>
      <c r="F10" s="32">
        <v>1.43</v>
      </c>
      <c r="G10" s="32">
        <v>3.43</v>
      </c>
      <c r="H10" s="22"/>
      <c r="I10" s="37" t="s">
        <v>410</v>
      </c>
      <c r="J10" s="32">
        <f t="shared" si="1"/>
        <v>2.4766666666666666</v>
      </c>
      <c r="K10" s="22"/>
      <c r="L10" s="32">
        <v>8.15</v>
      </c>
      <c r="M10" s="32" t="s">
        <v>404</v>
      </c>
      <c r="N10" s="32">
        <v>2.78</v>
      </c>
      <c r="O10" s="22">
        <v>2.74</v>
      </c>
      <c r="P10" s="32">
        <f t="shared" si="2"/>
        <v>5.3133333333333335</v>
      </c>
      <c r="S10" s="35" t="s">
        <v>411</v>
      </c>
      <c r="T10" s="23">
        <f t="shared" si="0"/>
        <v>3.895</v>
      </c>
    </row>
    <row r="11" spans="1:20" ht="38.25" x14ac:dyDescent="0.25">
      <c r="A11" s="35" t="s">
        <v>412</v>
      </c>
      <c r="B11" s="36">
        <v>2.09</v>
      </c>
      <c r="C11" s="36">
        <v>2.65</v>
      </c>
      <c r="D11" s="36">
        <v>2</v>
      </c>
      <c r="E11" s="32">
        <v>1.97</v>
      </c>
      <c r="F11" s="32">
        <v>1.1399999999999999</v>
      </c>
      <c r="G11" s="32">
        <v>2.52</v>
      </c>
      <c r="H11" s="22"/>
      <c r="I11" s="37" t="s">
        <v>410</v>
      </c>
      <c r="J11" s="32">
        <f t="shared" si="1"/>
        <v>2.061666666666667</v>
      </c>
      <c r="K11" s="22"/>
      <c r="L11" s="32">
        <v>7.83</v>
      </c>
      <c r="M11" s="32" t="s">
        <v>404</v>
      </c>
      <c r="N11" s="32">
        <v>2.4300000000000002</v>
      </c>
      <c r="O11" s="22">
        <v>2.44</v>
      </c>
      <c r="P11" s="32">
        <f t="shared" si="2"/>
        <v>4.9458333333333337</v>
      </c>
      <c r="S11" s="35" t="s">
        <v>412</v>
      </c>
      <c r="T11" s="23">
        <f t="shared" si="0"/>
        <v>3.5037500000000001</v>
      </c>
    </row>
    <row r="12" spans="1:20" ht="38.25" x14ac:dyDescent="0.25">
      <c r="A12" s="35" t="s">
        <v>413</v>
      </c>
      <c r="B12" s="36">
        <v>0.46</v>
      </c>
      <c r="C12" s="36">
        <v>0.32</v>
      </c>
      <c r="D12" s="36">
        <v>0.21</v>
      </c>
      <c r="E12" s="32">
        <v>0.28999999999999998</v>
      </c>
      <c r="F12" s="32">
        <v>0.3</v>
      </c>
      <c r="G12" s="32">
        <v>0.9</v>
      </c>
      <c r="H12" s="22"/>
      <c r="I12" s="37" t="s">
        <v>410</v>
      </c>
      <c r="J12" s="32">
        <f t="shared" si="1"/>
        <v>0.41333333333333333</v>
      </c>
      <c r="K12" s="22"/>
      <c r="L12" s="32">
        <v>0.31</v>
      </c>
      <c r="M12" s="32" t="s">
        <v>404</v>
      </c>
      <c r="N12" s="32">
        <v>0.35</v>
      </c>
      <c r="O12" s="22">
        <v>0.3</v>
      </c>
      <c r="P12" s="32">
        <f t="shared" si="2"/>
        <v>0.36166666666666669</v>
      </c>
      <c r="S12" s="35" t="s">
        <v>413</v>
      </c>
      <c r="T12" s="23">
        <f t="shared" si="0"/>
        <v>0.38750000000000001</v>
      </c>
    </row>
    <row r="13" spans="1:20" ht="25.5" x14ac:dyDescent="0.25">
      <c r="A13" s="35" t="s">
        <v>414</v>
      </c>
      <c r="B13" s="36"/>
      <c r="C13" s="36"/>
      <c r="D13" s="36"/>
      <c r="E13" s="32"/>
      <c r="F13" s="32"/>
      <c r="G13" s="32"/>
      <c r="H13" s="52"/>
      <c r="I13" s="52"/>
      <c r="J13" s="32"/>
      <c r="K13" s="52"/>
      <c r="L13" s="52"/>
      <c r="M13" s="32" t="s">
        <v>404</v>
      </c>
      <c r="N13" s="32">
        <v>7.0000000000000001E-3</v>
      </c>
      <c r="O13" s="22">
        <v>8.9999999999999993E-3</v>
      </c>
      <c r="P13" s="32"/>
      <c r="S13" s="35" t="s">
        <v>414</v>
      </c>
    </row>
    <row r="14" spans="1:20" ht="25.5" x14ac:dyDescent="0.25">
      <c r="A14" s="35" t="s">
        <v>415</v>
      </c>
      <c r="B14" s="36">
        <v>0.78</v>
      </c>
      <c r="C14" s="36">
        <v>0.48</v>
      </c>
      <c r="D14" s="36">
        <v>0.95</v>
      </c>
      <c r="E14" s="32">
        <v>0.69</v>
      </c>
      <c r="F14" s="32">
        <v>0.439</v>
      </c>
      <c r="G14" s="32">
        <v>1.1599999999999999</v>
      </c>
      <c r="H14" s="22"/>
      <c r="I14" s="37" t="s">
        <v>410</v>
      </c>
      <c r="J14" s="32">
        <f t="shared" si="1"/>
        <v>0.74983333333333324</v>
      </c>
      <c r="K14" s="22"/>
      <c r="L14" s="32">
        <v>0.36499999999999999</v>
      </c>
      <c r="M14" s="32" t="s">
        <v>404</v>
      </c>
      <c r="N14" s="32">
        <v>0.40799999999999997</v>
      </c>
      <c r="O14" s="22">
        <v>0.433</v>
      </c>
      <c r="P14" s="32">
        <f t="shared" si="2"/>
        <v>0.55741666666666667</v>
      </c>
      <c r="S14" s="35" t="s">
        <v>415</v>
      </c>
      <c r="T14" s="23">
        <f>AVERAGE(J14,P14)</f>
        <v>0.6536249999999999</v>
      </c>
    </row>
    <row r="15" spans="1:20" ht="38.25" x14ac:dyDescent="0.25">
      <c r="A15" s="35" t="s">
        <v>416</v>
      </c>
      <c r="B15" s="36">
        <v>3.56</v>
      </c>
      <c r="C15" s="36">
        <v>3</v>
      </c>
      <c r="D15" s="36">
        <v>1.51</v>
      </c>
      <c r="E15" s="32">
        <v>2.34</v>
      </c>
      <c r="F15" s="32">
        <v>1.77</v>
      </c>
      <c r="G15" s="32">
        <v>3.47</v>
      </c>
      <c r="H15" s="22"/>
      <c r="I15" s="37" t="s">
        <v>410</v>
      </c>
      <c r="J15" s="32">
        <f t="shared" si="1"/>
        <v>2.6083333333333334</v>
      </c>
      <c r="K15" s="22"/>
      <c r="L15" s="32">
        <v>2.2200000000000002</v>
      </c>
      <c r="M15" s="32" t="s">
        <v>404</v>
      </c>
      <c r="N15" s="32">
        <v>1.9</v>
      </c>
      <c r="O15" s="22">
        <v>0.998</v>
      </c>
      <c r="P15" s="32">
        <f t="shared" si="2"/>
        <v>2.4141666666666666</v>
      </c>
      <c r="S15" s="35" t="s">
        <v>416</v>
      </c>
      <c r="T15" s="23">
        <f>AVERAGE(J15,P15)</f>
        <v>2.51125</v>
      </c>
    </row>
    <row r="16" spans="1:20" ht="25.5" x14ac:dyDescent="0.25">
      <c r="A16" s="38" t="s">
        <v>417</v>
      </c>
      <c r="B16" s="39">
        <v>16.8</v>
      </c>
      <c r="C16" s="39">
        <v>11.9</v>
      </c>
      <c r="D16" s="39">
        <v>13.2</v>
      </c>
      <c r="E16" s="31">
        <v>17.45</v>
      </c>
      <c r="F16" s="31">
        <v>11.46</v>
      </c>
      <c r="G16" s="31">
        <v>9.81</v>
      </c>
      <c r="H16" s="53"/>
      <c r="I16" s="53"/>
      <c r="J16" s="32">
        <f t="shared" si="1"/>
        <v>13.436666666666667</v>
      </c>
      <c r="K16" s="22"/>
      <c r="L16" s="31">
        <v>5.37</v>
      </c>
      <c r="M16" s="32" t="s">
        <v>404</v>
      </c>
      <c r="N16" s="31">
        <v>15.18</v>
      </c>
      <c r="O16" s="22">
        <v>17.29</v>
      </c>
      <c r="P16" s="32">
        <f t="shared" si="2"/>
        <v>9.4033333333333342</v>
      </c>
      <c r="S16" s="38" t="s">
        <v>417</v>
      </c>
      <c r="T16" s="23">
        <f>AVERAGE(J16,P16)</f>
        <v>11.420000000000002</v>
      </c>
    </row>
    <row r="17" spans="1:20" x14ac:dyDescent="0.25">
      <c r="A17" s="37"/>
      <c r="B17" s="36"/>
      <c r="C17" s="36"/>
      <c r="D17" s="36"/>
      <c r="E17" s="32"/>
      <c r="F17" s="32"/>
      <c r="G17" s="32"/>
      <c r="H17" s="54"/>
      <c r="I17" s="54"/>
      <c r="J17" s="32"/>
      <c r="K17" s="52"/>
      <c r="L17" s="52"/>
      <c r="M17" s="32"/>
      <c r="N17" s="32"/>
      <c r="O17" s="22"/>
      <c r="P17" s="22"/>
      <c r="Q17" s="22"/>
    </row>
    <row r="18" spans="1:20" ht="51" x14ac:dyDescent="0.25">
      <c r="A18" s="40" t="s">
        <v>418</v>
      </c>
      <c r="B18" s="30">
        <f>B9/1.72</f>
        <v>40.988372093023258</v>
      </c>
      <c r="C18" s="30">
        <f t="shared" ref="C18:G18" si="3">C9/1.72</f>
        <v>36.569767441860463</v>
      </c>
      <c r="D18" s="30">
        <f t="shared" si="3"/>
        <v>30.755813953488371</v>
      </c>
      <c r="E18" s="30">
        <f t="shared" si="3"/>
        <v>39.941860465116278</v>
      </c>
      <c r="F18" s="30">
        <f t="shared" si="3"/>
        <v>15.116279069767442</v>
      </c>
      <c r="G18" s="30">
        <f t="shared" si="3"/>
        <v>28.779069767441861</v>
      </c>
      <c r="H18" s="49"/>
      <c r="I18" s="49"/>
      <c r="J18" s="30">
        <f t="shared" ref="J18" si="4">J9/1.72</f>
        <v>32.025193798449614</v>
      </c>
      <c r="K18" s="41"/>
      <c r="L18" s="30">
        <f t="shared" ref="L18" si="5">L9/1.72</f>
        <v>48.895348837209298</v>
      </c>
      <c r="M18" s="42" t="s">
        <v>404</v>
      </c>
      <c r="N18" s="30">
        <f t="shared" ref="N18:O18" si="6">N9/1.72</f>
        <v>42.965116279069768</v>
      </c>
      <c r="O18" s="30">
        <f t="shared" si="6"/>
        <v>49.069767441860471</v>
      </c>
      <c r="P18" s="25">
        <f>AVERAGE(B18:O18)</f>
        <v>36.51065891472868</v>
      </c>
      <c r="Q18" s="37" t="s">
        <v>410</v>
      </c>
      <c r="S18" s="40" t="s">
        <v>418</v>
      </c>
      <c r="T18" s="23">
        <f>AVERAGE(J18,P18)</f>
        <v>34.267926356589143</v>
      </c>
    </row>
    <row r="19" spans="1:20" x14ac:dyDescent="0.25">
      <c r="S19" s="23" t="s">
        <v>419</v>
      </c>
    </row>
    <row r="20" spans="1:20" x14ac:dyDescent="0.25">
      <c r="S20" s="23" t="s">
        <v>420</v>
      </c>
      <c r="T20" s="23">
        <v>0.2</v>
      </c>
    </row>
    <row r="21" spans="1:20" x14ac:dyDescent="0.25">
      <c r="S21" s="23" t="s">
        <v>421</v>
      </c>
      <c r="T21" s="23">
        <v>52</v>
      </c>
    </row>
    <row r="22" spans="1:20" x14ac:dyDescent="0.25">
      <c r="S22" s="23" t="s">
        <v>422</v>
      </c>
      <c r="T22" s="23">
        <v>21</v>
      </c>
    </row>
    <row r="23" spans="1:20" x14ac:dyDescent="0.25">
      <c r="S23" s="23" t="s">
        <v>423</v>
      </c>
      <c r="T23" s="23">
        <v>5</v>
      </c>
    </row>
    <row r="24" spans="1:20" x14ac:dyDescent="0.25">
      <c r="S24" s="23" t="s">
        <v>424</v>
      </c>
      <c r="T24" s="23">
        <v>195</v>
      </c>
    </row>
    <row r="25" spans="1:20" x14ac:dyDescent="0.25">
      <c r="S25" s="23" t="s">
        <v>425</v>
      </c>
      <c r="T25" s="23">
        <v>0.01</v>
      </c>
    </row>
    <row r="26" spans="1:20" x14ac:dyDescent="0.25">
      <c r="S26" s="23" t="s">
        <v>426</v>
      </c>
      <c r="T26" s="23">
        <v>14</v>
      </c>
    </row>
    <row r="27" spans="1:20" x14ac:dyDescent="0.25">
      <c r="S27" s="43" t="s">
        <v>427</v>
      </c>
    </row>
    <row r="113" spans="2:3" x14ac:dyDescent="0.25">
      <c r="B113" s="23" t="s">
        <v>428</v>
      </c>
    </row>
    <row r="124" spans="2:3" x14ac:dyDescent="0.25">
      <c r="C124" s="23" t="s">
        <v>239</v>
      </c>
    </row>
    <row r="125" spans="2:3" x14ac:dyDescent="0.25">
      <c r="C125" s="23" t="s">
        <v>240</v>
      </c>
    </row>
    <row r="126" spans="2:3" x14ac:dyDescent="0.25">
      <c r="C126" s="23" t="s">
        <v>241</v>
      </c>
    </row>
    <row r="127" spans="2:3" x14ac:dyDescent="0.25">
      <c r="C127" s="23" t="s">
        <v>242</v>
      </c>
    </row>
    <row r="128" spans="2:3" x14ac:dyDescent="0.25">
      <c r="C128" s="23" t="s">
        <v>243</v>
      </c>
    </row>
    <row r="129" spans="3:3" x14ac:dyDescent="0.25">
      <c r="C129" s="23" t="s">
        <v>244</v>
      </c>
    </row>
    <row r="130" spans="3:3" x14ac:dyDescent="0.25">
      <c r="C130" s="23" t="s">
        <v>245</v>
      </c>
    </row>
    <row r="131" spans="3:3" x14ac:dyDescent="0.25">
      <c r="C131" s="23" t="s">
        <v>246</v>
      </c>
    </row>
    <row r="138" spans="3:3" x14ac:dyDescent="0.25">
      <c r="C138" s="23" t="s">
        <v>253</v>
      </c>
    </row>
    <row r="139" spans="3:3" x14ac:dyDescent="0.25">
      <c r="C139" s="23" t="s">
        <v>254</v>
      </c>
    </row>
    <row r="140" spans="3:3" x14ac:dyDescent="0.25">
      <c r="C140" s="23" t="s">
        <v>255</v>
      </c>
    </row>
    <row r="141" spans="3:3" x14ac:dyDescent="0.25">
      <c r="C141" s="21" t="s">
        <v>256</v>
      </c>
    </row>
    <row r="142" spans="3:3" x14ac:dyDescent="0.25">
      <c r="C142" s="21" t="s">
        <v>257</v>
      </c>
    </row>
    <row r="143" spans="3:3" x14ac:dyDescent="0.25">
      <c r="C143" s="23" t="s">
        <v>258</v>
      </c>
    </row>
    <row r="144" spans="3:3" x14ac:dyDescent="0.25">
      <c r="C144" s="23" t="s">
        <v>259</v>
      </c>
    </row>
    <row r="152" spans="3:3" x14ac:dyDescent="0.25">
      <c r="C152" s="23" t="s">
        <v>267</v>
      </c>
    </row>
    <row r="153" spans="3:3" x14ac:dyDescent="0.25">
      <c r="C153" s="23" t="s">
        <v>268</v>
      </c>
    </row>
    <row r="154" spans="3:3" x14ac:dyDescent="0.25">
      <c r="C154" s="23" t="s">
        <v>269</v>
      </c>
    </row>
    <row r="155" spans="3:3" x14ac:dyDescent="0.25">
      <c r="C155" s="23" t="s">
        <v>270</v>
      </c>
    </row>
    <row r="156" spans="3:3" x14ac:dyDescent="0.25">
      <c r="C156" s="23" t="s">
        <v>271</v>
      </c>
    </row>
    <row r="157" spans="3:3" x14ac:dyDescent="0.25">
      <c r="C157" s="23" t="s">
        <v>272</v>
      </c>
    </row>
    <row r="158" spans="3:3" x14ac:dyDescent="0.25">
      <c r="C158" s="23" t="s">
        <v>273</v>
      </c>
    </row>
    <row r="159" spans="3:3" x14ac:dyDescent="0.25">
      <c r="C159" s="23" t="s">
        <v>274</v>
      </c>
    </row>
    <row r="167" spans="3:3" x14ac:dyDescent="0.25">
      <c r="C167" s="23" t="s">
        <v>282</v>
      </c>
    </row>
    <row r="168" spans="3:3" x14ac:dyDescent="0.25">
      <c r="C168" s="23" t="s">
        <v>283</v>
      </c>
    </row>
    <row r="169" spans="3:3" x14ac:dyDescent="0.25">
      <c r="C169" s="23" t="s">
        <v>284</v>
      </c>
    </row>
    <row r="170" spans="3:3" x14ac:dyDescent="0.25">
      <c r="C170" s="23" t="s">
        <v>285</v>
      </c>
    </row>
    <row r="171" spans="3:3" x14ac:dyDescent="0.25">
      <c r="C171" s="23" t="s">
        <v>286</v>
      </c>
    </row>
    <row r="172" spans="3:3" x14ac:dyDescent="0.25">
      <c r="C172" s="23" t="s">
        <v>287</v>
      </c>
    </row>
    <row r="173" spans="3:3" x14ac:dyDescent="0.25">
      <c r="C173" s="23" t="s">
        <v>288</v>
      </c>
    </row>
    <row r="174" spans="3:3" x14ac:dyDescent="0.25">
      <c r="C174" s="23" t="s">
        <v>289</v>
      </c>
    </row>
    <row r="182" spans="3:3" x14ac:dyDescent="0.25">
      <c r="C182" s="23" t="s">
        <v>297</v>
      </c>
    </row>
    <row r="183" spans="3:3" x14ac:dyDescent="0.25">
      <c r="C183" s="23" t="s">
        <v>298</v>
      </c>
    </row>
    <row r="184" spans="3:3" x14ac:dyDescent="0.25">
      <c r="C184" s="23" t="s">
        <v>299</v>
      </c>
    </row>
    <row r="185" spans="3:3" x14ac:dyDescent="0.25">
      <c r="C185" s="23" t="s">
        <v>300</v>
      </c>
    </row>
    <row r="186" spans="3:3" x14ac:dyDescent="0.25">
      <c r="C186" s="23" t="s">
        <v>301</v>
      </c>
    </row>
    <row r="187" spans="3:3" x14ac:dyDescent="0.25">
      <c r="C187" s="23" t="s">
        <v>302</v>
      </c>
    </row>
    <row r="188" spans="3:3" x14ac:dyDescent="0.25">
      <c r="C188" s="23" t="s">
        <v>303</v>
      </c>
    </row>
    <row r="189" spans="3:3" x14ac:dyDescent="0.25">
      <c r="C189" s="23" t="s">
        <v>304</v>
      </c>
    </row>
    <row r="197" spans="3:3" x14ac:dyDescent="0.25">
      <c r="C197" s="23" t="s">
        <v>312</v>
      </c>
    </row>
    <row r="198" spans="3:3" x14ac:dyDescent="0.25">
      <c r="C198" s="23" t="s">
        <v>313</v>
      </c>
    </row>
    <row r="199" spans="3:3" x14ac:dyDescent="0.25">
      <c r="C199" s="23" t="s">
        <v>314</v>
      </c>
    </row>
    <row r="200" spans="3:3" x14ac:dyDescent="0.25">
      <c r="C200" s="23" t="s">
        <v>315</v>
      </c>
    </row>
    <row r="201" spans="3:3" x14ac:dyDescent="0.25">
      <c r="C201" s="23" t="s">
        <v>316</v>
      </c>
    </row>
    <row r="202" spans="3:3" x14ac:dyDescent="0.25">
      <c r="C202" s="23" t="s">
        <v>317</v>
      </c>
    </row>
    <row r="203" spans="3:3" x14ac:dyDescent="0.25">
      <c r="C203" s="23" t="s">
        <v>318</v>
      </c>
    </row>
    <row r="204" spans="3:3" x14ac:dyDescent="0.25">
      <c r="C204" s="23" t="s">
        <v>319</v>
      </c>
    </row>
  </sheetData>
  <mergeCells count="18">
    <mergeCell ref="B1:G2"/>
    <mergeCell ref="H1:I1"/>
    <mergeCell ref="L1:N2"/>
    <mergeCell ref="H2:I2"/>
    <mergeCell ref="A3:A4"/>
    <mergeCell ref="B3:F3"/>
    <mergeCell ref="I3:I5"/>
    <mergeCell ref="J3:J4"/>
    <mergeCell ref="L3:N3"/>
    <mergeCell ref="H18:I18"/>
    <mergeCell ref="P3:P4"/>
    <mergeCell ref="S3:T5"/>
    <mergeCell ref="H6:I6"/>
    <mergeCell ref="H13:I13"/>
    <mergeCell ref="K13:L13"/>
    <mergeCell ref="H16:I16"/>
    <mergeCell ref="H17:I17"/>
    <mergeCell ref="K17:L17"/>
  </mergeCells>
  <hyperlinks>
    <hyperlink ref="S27" r:id="rId1" display="https://ruralcat.gencat.cat/documents/20181/335807/An%C3%A0lisis+de+la+qualitat+de+mat%C3%A8ria+org%C3%A0nica+compostada..pdf/37a21468-35f9-4a2c-b640-532a2a272fa0" xr:uid="{E284881C-0DBE-4772-ADA9-AE0B6CDDB9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54E5-AA5E-4E28-AE32-D2EBC1CBD6A8}">
  <dimension ref="B2:B39"/>
  <sheetViews>
    <sheetView topLeftCell="A10" workbookViewId="0">
      <selection activeCell="B42" sqref="B42"/>
    </sheetView>
  </sheetViews>
  <sheetFormatPr defaultColWidth="8.5703125" defaultRowHeight="15" x14ac:dyDescent="0.25"/>
  <cols>
    <col min="2" max="2" width="22.5703125" bestFit="1" customWidth="1"/>
  </cols>
  <sheetData>
    <row r="2" spans="2:2" x14ac:dyDescent="0.25">
      <c r="B2" s="1" t="s">
        <v>96</v>
      </c>
    </row>
    <row r="3" spans="2:2" x14ac:dyDescent="0.25">
      <c r="B3" t="s">
        <v>112</v>
      </c>
    </row>
    <row r="4" spans="2:2" x14ac:dyDescent="0.25">
      <c r="B4" t="s">
        <v>110</v>
      </c>
    </row>
    <row r="6" spans="2:2" x14ac:dyDescent="0.25">
      <c r="B6" s="1" t="s">
        <v>13</v>
      </c>
    </row>
    <row r="7" spans="2:2" x14ac:dyDescent="0.25">
      <c r="B7" t="s">
        <v>429</v>
      </c>
    </row>
    <row r="8" spans="2:2" x14ac:dyDescent="0.25">
      <c r="B8" t="s">
        <v>430</v>
      </c>
    </row>
    <row r="9" spans="2:2" x14ac:dyDescent="0.25">
      <c r="B9" t="s">
        <v>431</v>
      </c>
    </row>
    <row r="11" spans="2:2" x14ac:dyDescent="0.25">
      <c r="B11" s="1" t="s">
        <v>3</v>
      </c>
    </row>
    <row r="12" spans="2:2" x14ac:dyDescent="0.25">
      <c r="B12" t="s">
        <v>98</v>
      </c>
    </row>
    <row r="13" spans="2:2" x14ac:dyDescent="0.25">
      <c r="B13" t="s">
        <v>227</v>
      </c>
    </row>
    <row r="14" spans="2:2" x14ac:dyDescent="0.25">
      <c r="B14" t="s">
        <v>432</v>
      </c>
    </row>
    <row r="15" spans="2:2" x14ac:dyDescent="0.25">
      <c r="B15" t="s">
        <v>433</v>
      </c>
    </row>
    <row r="16" spans="2:2" x14ac:dyDescent="0.25">
      <c r="B16" t="s">
        <v>434</v>
      </c>
    </row>
    <row r="18" spans="2:2" x14ac:dyDescent="0.25">
      <c r="B18" s="1" t="s">
        <v>35</v>
      </c>
    </row>
    <row r="19" spans="2:2" x14ac:dyDescent="0.25">
      <c r="B19" t="s">
        <v>103</v>
      </c>
    </row>
    <row r="20" spans="2:2" x14ac:dyDescent="0.25">
      <c r="B20" t="s">
        <v>435</v>
      </c>
    </row>
    <row r="21" spans="2:2" x14ac:dyDescent="0.25">
      <c r="B21" t="s">
        <v>436</v>
      </c>
    </row>
    <row r="22" spans="2:2" x14ac:dyDescent="0.25">
      <c r="B22" t="s">
        <v>437</v>
      </c>
    </row>
    <row r="23" spans="2:2" x14ac:dyDescent="0.25">
      <c r="B23" t="s">
        <v>438</v>
      </c>
    </row>
    <row r="25" spans="2:2" x14ac:dyDescent="0.25">
      <c r="B25" s="2" t="s">
        <v>439</v>
      </c>
    </row>
    <row r="26" spans="2:2" x14ac:dyDescent="0.25">
      <c r="B26" t="s">
        <v>99</v>
      </c>
    </row>
    <row r="27" spans="2:2" x14ac:dyDescent="0.25">
      <c r="B27" t="s">
        <v>440</v>
      </c>
    </row>
    <row r="28" spans="2:2" x14ac:dyDescent="0.25">
      <c r="B28" t="s">
        <v>441</v>
      </c>
    </row>
    <row r="29" spans="2:2" x14ac:dyDescent="0.25">
      <c r="B29" t="s">
        <v>442</v>
      </c>
    </row>
    <row r="30" spans="2:2" x14ac:dyDescent="0.25">
      <c r="B30" t="s">
        <v>100</v>
      </c>
    </row>
    <row r="31" spans="2:2" x14ac:dyDescent="0.25">
      <c r="B31" t="s">
        <v>443</v>
      </c>
    </row>
    <row r="33" spans="2:2" x14ac:dyDescent="0.25">
      <c r="B33" s="2" t="s">
        <v>444</v>
      </c>
    </row>
    <row r="34" spans="2:2" x14ac:dyDescent="0.25">
      <c r="B34" t="s">
        <v>445</v>
      </c>
    </row>
    <row r="35" spans="2:2" x14ac:dyDescent="0.25">
      <c r="B35" t="s">
        <v>446</v>
      </c>
    </row>
    <row r="36" spans="2:2" x14ac:dyDescent="0.25">
      <c r="B36" t="s">
        <v>447</v>
      </c>
    </row>
    <row r="37" spans="2:2" x14ac:dyDescent="0.25">
      <c r="B37" t="s">
        <v>448</v>
      </c>
    </row>
    <row r="38" spans="2:2" x14ac:dyDescent="0.25">
      <c r="B38" t="s">
        <v>449</v>
      </c>
    </row>
    <row r="39" spans="2:2" x14ac:dyDescent="0.25">
      <c r="B39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a6c8fa-9b80-475b-a92d-540710120ea5">
      <Terms xmlns="http://schemas.microsoft.com/office/infopath/2007/PartnerControls"/>
    </lcf76f155ced4ddcb4097134ff3c332f>
    <TaxCatchAll xmlns="88b21812-5031-4579-98a3-1021d986dc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44BCECAD595B43A96AB744E2E4E18E" ma:contentTypeVersion="16" ma:contentTypeDescription="Crear nuevo documento." ma:contentTypeScope="" ma:versionID="0bc22288699863f26a256a90af5f404c">
  <xsd:schema xmlns:xsd="http://www.w3.org/2001/XMLSchema" xmlns:xs="http://www.w3.org/2001/XMLSchema" xmlns:p="http://schemas.microsoft.com/office/2006/metadata/properties" xmlns:ns2="c9a6c8fa-9b80-475b-a92d-540710120ea5" xmlns:ns3="88b21812-5031-4579-98a3-1021d986dc59" targetNamespace="http://schemas.microsoft.com/office/2006/metadata/properties" ma:root="true" ma:fieldsID="f709764be92f728e819ad9f2ef95a8b4" ns2:_="" ns3:_="">
    <xsd:import namespace="c9a6c8fa-9b80-475b-a92d-540710120ea5"/>
    <xsd:import namespace="88b21812-5031-4579-98a3-1021d986dc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6c8fa-9b80-475b-a92d-540710120e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c9fdf53-5fc8-4dfd-ab7a-db58370f13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21812-5031-4579-98a3-1021d986dc5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d8cc372-4331-45a2-b5cb-af695d808ab7}" ma:internalName="TaxCatchAll" ma:showField="CatchAllData" ma:web="88b21812-5031-4579-98a3-1021d986dc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E1B52-4335-491F-B4B3-EB7935D11D08}">
  <ds:schemaRefs>
    <ds:schemaRef ds:uri="http://schemas.microsoft.com/office/2006/metadata/properties"/>
    <ds:schemaRef ds:uri="http://schemas.microsoft.com/office/infopath/2007/PartnerControls"/>
    <ds:schemaRef ds:uri="c9a6c8fa-9b80-475b-a92d-540710120ea5"/>
    <ds:schemaRef ds:uri="88b21812-5031-4579-98a3-1021d986dc59"/>
  </ds:schemaRefs>
</ds:datastoreItem>
</file>

<file path=customXml/itemProps2.xml><?xml version="1.0" encoding="utf-8"?>
<ds:datastoreItem xmlns:ds="http://schemas.openxmlformats.org/officeDocument/2006/customXml" ds:itemID="{8AD78249-F14A-4327-BB64-08970672C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6c8fa-9b80-475b-a92d-540710120ea5"/>
    <ds:schemaRef ds:uri="88b21812-5031-4579-98a3-1021d986dc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CB960C-9353-4CC5-84AE-479520CE7B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MARIGO_LCA_all</vt:lpstr>
      <vt:lpstr>Sheet2</vt:lpstr>
      <vt:lpstr>Sheet1</vt:lpstr>
      <vt:lpstr>HM_CattleManure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avadi</dc:creator>
  <cp:keywords/>
  <dc:description/>
  <cp:lastModifiedBy>Avadi, Angel</cp:lastModifiedBy>
  <cp:revision/>
  <dcterms:created xsi:type="dcterms:W3CDTF">2024-02-27T17:44:59Z</dcterms:created>
  <dcterms:modified xsi:type="dcterms:W3CDTF">2026-02-26T07:17:55Z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0x0101000544BCECAD595B43A96AB744E2E4E18E</vt:lpwstr>
  </property>
  <property fmtid="{D5CDD505-2E9C-101B-9397-08002B2CF9AE}" pid="3" name="MediaServiceImageTags">
    <vt:lpwstr/>
  </property>
</Properties>
</file>