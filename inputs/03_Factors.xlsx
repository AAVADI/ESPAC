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AVADI\Documents\KNIME_workspace\bulk_ecospold_generator_Python_generic\"/>
    </mc:Choice>
  </mc:AlternateContent>
  <xr:revisionPtr revIDLastSave="0" documentId="13_ncr:1_{9DC6C76A-42A4-4F37-8BD9-8F92E04A31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ors" sheetId="1" r:id="rId1"/>
    <sheet name="referenc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6" i="1"/>
  <c r="B20" i="1"/>
  <c r="B17" i="1" l="1"/>
  <c r="B15" i="1"/>
</calcChain>
</file>

<file path=xl/sharedStrings.xml><?xml version="1.0" encoding="utf-8"?>
<sst xmlns="http://schemas.openxmlformats.org/spreadsheetml/2006/main" count="163" uniqueCount="113">
  <si>
    <t>Var</t>
  </si>
  <si>
    <t>Comment</t>
  </si>
  <si>
    <t>EF_NH3_m</t>
  </si>
  <si>
    <t>RUSLE_R</t>
  </si>
  <si>
    <t xml:space="preserve">EF_NOx </t>
  </si>
  <si>
    <t>EF_limestone</t>
  </si>
  <si>
    <t>EF_urea</t>
  </si>
  <si>
    <t>EF_N2O_l</t>
  </si>
  <si>
    <t>EF_N2O_a</t>
  </si>
  <si>
    <t>FracLEACH</t>
  </si>
  <si>
    <t>FracGASF</t>
  </si>
  <si>
    <t>FracGASM</t>
  </si>
  <si>
    <t>RUSLE_K</t>
  </si>
  <si>
    <t>RUSLE_LS</t>
  </si>
  <si>
    <t>RUSLE_C</t>
  </si>
  <si>
    <t>RUSLE_P</t>
  </si>
  <si>
    <t>t</t>
  </si>
  <si>
    <t>Val</t>
  </si>
  <si>
    <t>c_PrimAir</t>
  </si>
  <si>
    <t>c_PrimSoil</t>
  </si>
  <si>
    <t>c_PrimCrop</t>
  </si>
  <si>
    <t>c_PrimOffField</t>
  </si>
  <si>
    <t>c_PrimWater</t>
  </si>
  <si>
    <t>f_PrimAir</t>
  </si>
  <si>
    <t>f_PrimSoil</t>
  </si>
  <si>
    <t>f_PrimCrop</t>
  </si>
  <si>
    <t>f_PrimOffField</t>
  </si>
  <si>
    <t>f_PrimWater</t>
  </si>
  <si>
    <t>v_PrimAir</t>
  </si>
  <si>
    <t>v_PrimSoil</t>
  </si>
  <si>
    <t>v_PrimCrop</t>
  </si>
  <si>
    <t>v_PrimOffField</t>
  </si>
  <si>
    <t>v_PrimWater</t>
  </si>
  <si>
    <t>Current value</t>
  </si>
  <si>
    <t>Baix Empordà</t>
  </si>
  <si>
    <t>Inflorescence</t>
  </si>
  <si>
    <t>Cereals: Methodology - direct field emissions, Table 7. PestLCI-derived primary partitions for applied pesticides in Catalonia. Check for phenological state</t>
  </si>
  <si>
    <t>Fruit development</t>
  </si>
  <si>
    <t>Fruit trees: Methodology - direct field emissions, Table 7. PestLCI-derived primary partitions for applied pesticides in Catalonia. Check for phenological state</t>
  </si>
  <si>
    <t>Vegetables: Methodology - direct field emissions, Table 7. PestLCI-derived primary partitions for applied pesticides in Catalonia. Check for phenological state</t>
  </si>
  <si>
    <t>Annual crops</t>
  </si>
  <si>
    <t>Default</t>
  </si>
  <si>
    <t>Girona</t>
  </si>
  <si>
    <t xml:space="preserve">Original: kg NH3-N per kg N applied urea (EMEP/EEA Ch 3D, Table 3.2, Tier 2)
Adapted: Methodology - direct field emissions, Table 3. Emission and reduction factors for Catalonia, NH3 emissions from mineral fertilisers application </t>
  </si>
  <si>
    <t>EF_NH3_u</t>
  </si>
  <si>
    <t>CF_NH3_u</t>
  </si>
  <si>
    <t xml:space="preserve">Original: 1
Adapted: Methodology - direct field emissions, Table 3. Emission and reduction factors for Catalonia, NH3 emissions from mineral fertilisers application </t>
  </si>
  <si>
    <t>Original: kg NH3-N per kg N applied cattle manure (EMEP/EEA Ch 3B, Table 3.9, Tier 2, TAN * EF)
Adapted: Methodology - direct field emissions, Table 5. Emission factors for Catalonia, NH3 emissions from organic fertilisers application</t>
  </si>
  <si>
    <t>Catalonia</t>
  </si>
  <si>
    <t>CF_NH3_m</t>
  </si>
  <si>
    <t xml:space="preserve">Original: 1
Adapted: Methodology - direct field emissions, Table 6. Reduction factors for Catalonia, NH3 emissions from organic fertilisers application  </t>
  </si>
  <si>
    <t>Girona, without soil incorporation</t>
  </si>
  <si>
    <t>Catalonia, with soil incorporation</t>
  </si>
  <si>
    <t>default</t>
  </si>
  <si>
    <t>Girona, Tier 1</t>
  </si>
  <si>
    <t>Methodology - direct field emissions, Table XXX (ver Emissions fertilitzants i pesticides.pdf. Check for location)</t>
  </si>
  <si>
    <t>Original: kg CO2-C per t limestone applied (IPCC Ch 11 Tier 1)</t>
  </si>
  <si>
    <t>Original: kg CO2-C per t urea applied (IPCC Ch 11 Tier 1)</t>
  </si>
  <si>
    <t>Original: Fraction of eroded soil that reaches the river (SALCA-P)</t>
  </si>
  <si>
    <t>Original: Land occupation time (days/365) (SALCA-P)</t>
  </si>
  <si>
    <t>Original: Phosphorus content in the upper soil layer, kg P/t soil (SALCA-P)</t>
  </si>
  <si>
    <t>Psoil</t>
  </si>
  <si>
    <t>e</t>
  </si>
  <si>
    <t>r</t>
  </si>
  <si>
    <t>Original: Enrichment factor in the eroded particles (SALCA-P)</t>
  </si>
  <si>
    <t>Original: Slope factor --&gt; if slope &lt; 3% then 0 else 1 (SALCA-P)</t>
  </si>
  <si>
    <t>s</t>
  </si>
  <si>
    <t>kr</t>
  </si>
  <si>
    <t>ks1</t>
  </si>
  <si>
    <t>Original: correction factor for the impact of soil properties (grain size, soil rooting depth) on the risk of P losses through runoff, 0.8-1.2 (SALCA-P)</t>
  </si>
  <si>
    <t>Open arable land</t>
  </si>
  <si>
    <t>Original: Mean amount of P lost to runoff according to the land occupation category  (SALCA-P, Table 1)</t>
  </si>
  <si>
    <t>kn</t>
  </si>
  <si>
    <t>Original: correction factor for P supply classes A-E (SALCA-P, Table 2)</t>
  </si>
  <si>
    <t>kt</t>
  </si>
  <si>
    <t>Original: correction factor for the impact of topographic properties affecting the water discharge at the plot level (SALCA-P)</t>
  </si>
  <si>
    <t>ks2</t>
  </si>
  <si>
    <t>Original: correction factor for the impact of soil properties (grain size, soil rooting depth) on the risk of P losses through leaching, 0.95-1.15 (SALCA-P)</t>
  </si>
  <si>
    <t>kl</t>
  </si>
  <si>
    <t>Original: Mean amount of P lost to leaching according to the land occupation category  (SALCA-P, Table 5)</t>
  </si>
  <si>
    <t>kd</t>
  </si>
  <si>
    <t>Default: class C (medium)</t>
  </si>
  <si>
    <t>Original: Drainage factor (SALCA-P)</t>
  </si>
  <si>
    <t>EF_N2O_d</t>
  </si>
  <si>
    <t>Original: kg N2O-N per kg N applied (IPCC Ch 11 Table 11.1, Tier 1, EF1) --&gt; direct
Adapted: kg N2O-N per kg N applied in dry climate: Methodology - direct field emissions, Table XXX (ver IRTA Metodología emisiones - Agricultura - Miquel.xlsx)</t>
  </si>
  <si>
    <t>Original: kg N2O-N per kg N-NO3 leached (IPCC Ch 11 Table 11.3, Tier 1, EF5) --&gt; indirect, leaching</t>
  </si>
  <si>
    <t>Original: kg N2O-N per kg N-NH3 volatilised (IPCC Ch 11 Table 11.3, Tier 1, EF4) --&gt; indirect, atmosferic
Adapted Tier 1: kg N2O-N per kg N-NH3 volatilised (IPCC Ch 11 Table 11.3, Tier 1, EF4) in dry climate
Adapted Tier 2: kg N2O-N per kg N-NH3 volatilised : Methodology - direct field emissions, Table XXX (ver IRTA Metodología emisiones - Agricultura - Miquel.xlsx)</t>
  </si>
  <si>
    <t>Girona, Tier 2</t>
  </si>
  <si>
    <t>Original: kg NOx-N per kg N applied (IPCC Ch 11 Table 11.3, Tier 1)
Alternative: kg NOx per kg N applied, minus NH3 volatilisation (EMEP/EEA)</t>
  </si>
  <si>
    <t>EMEP/EEA 2023</t>
  </si>
  <si>
    <t>Original: kg NO3-N per kg N applied (IPCC Ch 11 Table 11.3, Tier 1, if (precipitation + irrigation - AET) &lt; AWC then FracLEACH = 0)
Adapted Tier 1: Methodology - direct field emissions, Table XXX (ver IRTA Metodología emisiones - Agricultura - Miquel.xlsx)
Adapted Tier 2: Methodology - direct field emissions, Equation XXX</t>
  </si>
  <si>
    <t>Original: IPCC Ch 11 Table 11.3, Tier 1
Adapted: volatilisation (kg NH3–N + NOx–N) per kg inorganic N applied : Methodology - direct field emissions, Table XXX (ver IRTA Metodología emisiones - Agricultura - Miquel.xlsx)</t>
  </si>
  <si>
    <t>Original: IPCC Ch 11 Table 11.3, Tier 1
Adapted: volatilisation (kg NH3–N + NOx–N) per kg organic N applied : Methodology - direct field emissions, Table XXX (ver IRTA Metodología emisiones - Agricultura - Miquel.xlsx)</t>
  </si>
  <si>
    <t>add here all tables from Methodology</t>
  </si>
  <si>
    <t>https://doi.org/10.1016/j.envsoft.2011.11.002</t>
  </si>
  <si>
    <t>Spain</t>
  </si>
  <si>
    <t>Version</t>
  </si>
  <si>
    <t>Angel AVADI</t>
  </si>
  <si>
    <t>mg_Cd</t>
  </si>
  <si>
    <t>mg_Cu</t>
  </si>
  <si>
    <t>mg_Zn</t>
  </si>
  <si>
    <t>mg_Pb</t>
  </si>
  <si>
    <t>mg_Ni</t>
  </si>
  <si>
    <t>mg_Cr</t>
  </si>
  <si>
    <t>mg_Hg</t>
  </si>
  <si>
    <t>mg Cd/kg manure</t>
  </si>
  <si>
    <t>mg Cu/kg manure</t>
  </si>
  <si>
    <t>mg Zn/kg manure</t>
  </si>
  <si>
    <t>mg Pb/kg manure</t>
  </si>
  <si>
    <t>mg Ni/kg manure</t>
  </si>
  <si>
    <t>mg Cr/kg manure</t>
  </si>
  <si>
    <t>mg Hg/kg manure</t>
  </si>
  <si>
    <t>Cattle, solid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</si>
</sst>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  <numFmt numFmtId="166" formatCode="_-* #,##0_-;\-* #,##0_-;_-* &quot;-&quot;??_-;_-@_-"/>
    <numFmt numFmtId="174" formatCode="_-* #,##0.00000000000_-;\-* #,##0.000000000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onsolas"/>
      <family val="3"/>
    </font>
    <font>
      <sz val="11"/>
      <color theme="9"/>
      <name val="Consolas"/>
      <family val="3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top"/>
    </xf>
    <xf numFmtId="43" fontId="0" fillId="0" borderId="0" xfId="1" applyFont="1" applyAlignment="1">
      <alignment vertical="top"/>
    </xf>
    <xf numFmtId="0" fontId="3" fillId="0" borderId="0" xfId="0" applyFont="1" applyAlignment="1">
      <alignment vertical="top"/>
    </xf>
    <xf numFmtId="164" fontId="0" fillId="0" borderId="0" xfId="1" applyNumberFormat="1" applyFont="1" applyAlignment="1">
      <alignment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164" fontId="5" fillId="0" borderId="0" xfId="1" applyNumberFormat="1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43" fontId="5" fillId="0" borderId="0" xfId="1" applyFont="1" applyAlignment="1">
      <alignment vertical="top"/>
    </xf>
    <xf numFmtId="166" fontId="5" fillId="0" borderId="0" xfId="1" applyNumberFormat="1" applyFont="1" applyAlignment="1">
      <alignment vertical="top"/>
    </xf>
    <xf numFmtId="165" fontId="5" fillId="0" borderId="0" xfId="1" applyNumberFormat="1" applyFont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2" fillId="0" borderId="0" xfId="0" applyFont="1"/>
    <xf numFmtId="43" fontId="0" fillId="0" borderId="0" xfId="1" applyFont="1"/>
    <xf numFmtId="14" fontId="0" fillId="0" borderId="0" xfId="0" applyNumberFormat="1"/>
    <xf numFmtId="0" fontId="0" fillId="0" borderId="0" xfId="0" applyAlignment="1">
      <alignment horizontal="left"/>
    </xf>
    <xf numFmtId="43" fontId="0" fillId="0" borderId="0" xfId="0" applyNumberFormat="1" applyAlignment="1">
      <alignment horizontal="left"/>
    </xf>
    <xf numFmtId="174" fontId="0" fillId="0" borderId="0" xfId="1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topLeftCell="A21" workbookViewId="0">
      <selection activeCell="A54" sqref="A54"/>
    </sheetView>
  </sheetViews>
  <sheetFormatPr defaultRowHeight="15" x14ac:dyDescent="0.25"/>
  <cols>
    <col min="1" max="1" width="17.28515625" style="1" bestFit="1" customWidth="1"/>
    <col min="2" max="2" width="8" style="2" bestFit="1" customWidth="1"/>
    <col min="3" max="3" width="129" style="1" customWidth="1"/>
    <col min="4" max="4" width="31.5703125" style="1" bestFit="1" customWidth="1"/>
    <col min="5" max="16384" width="9.140625" style="1"/>
  </cols>
  <sheetData>
    <row r="1" spans="1:4" x14ac:dyDescent="0.25">
      <c r="A1" s="1" t="s">
        <v>0</v>
      </c>
      <c r="B1" s="2" t="s">
        <v>17</v>
      </c>
      <c r="C1" s="1" t="s">
        <v>1</v>
      </c>
      <c r="D1" s="1" t="s">
        <v>33</v>
      </c>
    </row>
    <row r="2" spans="1:4" ht="30" x14ac:dyDescent="0.25">
      <c r="A2" s="6" t="s">
        <v>44</v>
      </c>
      <c r="B2" s="7">
        <v>0.155</v>
      </c>
      <c r="C2" s="8" t="s">
        <v>43</v>
      </c>
      <c r="D2" s="9" t="s">
        <v>42</v>
      </c>
    </row>
    <row r="3" spans="1:4" ht="30" x14ac:dyDescent="0.25">
      <c r="A3" s="6" t="s">
        <v>45</v>
      </c>
      <c r="B3" s="11">
        <v>1</v>
      </c>
      <c r="C3" s="8" t="s">
        <v>46</v>
      </c>
      <c r="D3" s="9" t="s">
        <v>51</v>
      </c>
    </row>
    <row r="4" spans="1:4" ht="30" x14ac:dyDescent="0.25">
      <c r="A4" s="6" t="s">
        <v>2</v>
      </c>
      <c r="B4" s="7">
        <v>0.1283</v>
      </c>
      <c r="C4" s="8" t="s">
        <v>47</v>
      </c>
      <c r="D4" s="9" t="s">
        <v>48</v>
      </c>
    </row>
    <row r="5" spans="1:4" ht="30" x14ac:dyDescent="0.25">
      <c r="A5" s="6" t="s">
        <v>49</v>
      </c>
      <c r="B5" s="10">
        <v>0.7</v>
      </c>
      <c r="C5" s="8" t="s">
        <v>50</v>
      </c>
      <c r="D5" s="9" t="s">
        <v>52</v>
      </c>
    </row>
    <row r="6" spans="1:4" ht="45" x14ac:dyDescent="0.25">
      <c r="A6" s="6" t="s">
        <v>10</v>
      </c>
      <c r="B6" s="10">
        <v>0.06</v>
      </c>
      <c r="C6" s="8" t="s">
        <v>91</v>
      </c>
      <c r="D6" s="9" t="s">
        <v>87</v>
      </c>
    </row>
    <row r="7" spans="1:4" ht="45" x14ac:dyDescent="0.25">
      <c r="A7" s="6" t="s">
        <v>11</v>
      </c>
      <c r="B7" s="10">
        <v>0.19</v>
      </c>
      <c r="C7" s="8" t="s">
        <v>92</v>
      </c>
      <c r="D7" s="9" t="s">
        <v>87</v>
      </c>
    </row>
    <row r="8" spans="1:4" ht="45" x14ac:dyDescent="0.25">
      <c r="A8" s="6" t="s">
        <v>9</v>
      </c>
      <c r="B8" s="10">
        <v>0.31</v>
      </c>
      <c r="C8" s="8" t="s">
        <v>90</v>
      </c>
      <c r="D8" s="9" t="s">
        <v>54</v>
      </c>
    </row>
    <row r="9" spans="1:4" ht="45" x14ac:dyDescent="0.25">
      <c r="A9" s="6" t="s">
        <v>83</v>
      </c>
      <c r="B9" s="7">
        <v>5.0000000000000001E-3</v>
      </c>
      <c r="C9" s="8" t="s">
        <v>84</v>
      </c>
      <c r="D9" s="9" t="s">
        <v>42</v>
      </c>
    </row>
    <row r="10" spans="1:4" ht="60" x14ac:dyDescent="0.25">
      <c r="A10" s="6" t="s">
        <v>8</v>
      </c>
      <c r="B10" s="7">
        <v>8.9999999999999993E-3</v>
      </c>
      <c r="C10" s="8" t="s">
        <v>86</v>
      </c>
      <c r="D10" s="9" t="s">
        <v>87</v>
      </c>
    </row>
    <row r="11" spans="1:4" x14ac:dyDescent="0.25">
      <c r="A11" s="3" t="s">
        <v>7</v>
      </c>
      <c r="B11" s="4">
        <v>1.0999999999999999E-2</v>
      </c>
      <c r="C11" s="5" t="s">
        <v>85</v>
      </c>
      <c r="D11" s="1" t="s">
        <v>53</v>
      </c>
    </row>
    <row r="12" spans="1:4" ht="30" x14ac:dyDescent="0.25">
      <c r="A12" s="6" t="s">
        <v>4</v>
      </c>
      <c r="B12" s="10">
        <v>0.04</v>
      </c>
      <c r="C12" s="8" t="s">
        <v>88</v>
      </c>
      <c r="D12" s="9" t="s">
        <v>89</v>
      </c>
    </row>
    <row r="13" spans="1:4" x14ac:dyDescent="0.25">
      <c r="A13" s="3" t="s">
        <v>5</v>
      </c>
      <c r="B13" s="2">
        <v>0.12</v>
      </c>
      <c r="C13" s="1" t="s">
        <v>56</v>
      </c>
      <c r="D13" s="1" t="s">
        <v>53</v>
      </c>
    </row>
    <row r="14" spans="1:4" x14ac:dyDescent="0.25">
      <c r="A14" s="3" t="s">
        <v>6</v>
      </c>
      <c r="B14" s="2">
        <v>0.2</v>
      </c>
      <c r="C14" s="1" t="s">
        <v>57</v>
      </c>
      <c r="D14" s="1" t="s">
        <v>53</v>
      </c>
    </row>
    <row r="15" spans="1:4" x14ac:dyDescent="0.25">
      <c r="A15" s="6" t="s">
        <v>3</v>
      </c>
      <c r="B15" s="11">
        <f>AVERAGE(200, 250)</f>
        <v>225</v>
      </c>
      <c r="C15" s="9" t="s">
        <v>55</v>
      </c>
      <c r="D15" s="9" t="s">
        <v>34</v>
      </c>
    </row>
    <row r="16" spans="1:4" s="9" customFormat="1" x14ac:dyDescent="0.25">
      <c r="A16" s="6" t="s">
        <v>12</v>
      </c>
      <c r="B16" s="12">
        <v>3.6799999999999999E-2</v>
      </c>
      <c r="C16" s="9" t="s">
        <v>94</v>
      </c>
      <c r="D16" s="9" t="s">
        <v>95</v>
      </c>
    </row>
    <row r="17" spans="1:11" x14ac:dyDescent="0.25">
      <c r="A17" s="6" t="s">
        <v>13</v>
      </c>
      <c r="B17" s="10">
        <f>AVERAGE(0,3)</f>
        <v>1.5</v>
      </c>
      <c r="C17" s="9" t="s">
        <v>55</v>
      </c>
      <c r="D17" s="9" t="s">
        <v>34</v>
      </c>
    </row>
    <row r="18" spans="1:11" x14ac:dyDescent="0.25">
      <c r="A18" s="6" t="s">
        <v>14</v>
      </c>
      <c r="B18" s="12">
        <v>0.23230000000000001</v>
      </c>
      <c r="C18" s="9" t="s">
        <v>55</v>
      </c>
      <c r="D18" s="9" t="s">
        <v>40</v>
      </c>
      <c r="F18" s="13"/>
      <c r="G18" s="13"/>
      <c r="H18" s="13"/>
      <c r="I18" s="13"/>
      <c r="J18" s="13"/>
      <c r="K18" s="13"/>
    </row>
    <row r="19" spans="1:11" x14ac:dyDescent="0.25">
      <c r="A19" s="6" t="s">
        <v>15</v>
      </c>
      <c r="B19" s="10">
        <v>1</v>
      </c>
      <c r="C19" s="9" t="s">
        <v>55</v>
      </c>
      <c r="D19" s="9" t="s">
        <v>41</v>
      </c>
      <c r="F19" s="13"/>
      <c r="G19" s="13"/>
      <c r="H19" s="13"/>
      <c r="I19" s="13"/>
      <c r="J19" s="13"/>
      <c r="K19" s="13"/>
    </row>
    <row r="20" spans="1:11" x14ac:dyDescent="0.25">
      <c r="A20" s="6" t="s">
        <v>61</v>
      </c>
      <c r="B20" s="7">
        <f>950/1000</f>
        <v>0.95</v>
      </c>
      <c r="C20" s="9" t="s">
        <v>60</v>
      </c>
      <c r="D20" s="9" t="s">
        <v>41</v>
      </c>
      <c r="E20" s="14"/>
      <c r="F20" s="13"/>
      <c r="G20" s="13"/>
      <c r="H20" s="13"/>
      <c r="I20" s="13"/>
      <c r="J20" s="13"/>
      <c r="K20" s="13"/>
    </row>
    <row r="21" spans="1:11" x14ac:dyDescent="0.25">
      <c r="A21" s="6" t="s">
        <v>62</v>
      </c>
      <c r="B21" s="10">
        <v>1.86</v>
      </c>
      <c r="C21" s="9" t="s">
        <v>64</v>
      </c>
      <c r="D21" s="9" t="s">
        <v>41</v>
      </c>
      <c r="E21" s="14"/>
      <c r="F21" s="13"/>
      <c r="G21" s="13"/>
      <c r="H21" s="13"/>
      <c r="I21" s="13"/>
      <c r="J21" s="13"/>
      <c r="K21" s="13"/>
    </row>
    <row r="22" spans="1:11" x14ac:dyDescent="0.25">
      <c r="A22" s="6" t="s">
        <v>63</v>
      </c>
      <c r="B22" s="10">
        <v>0.2</v>
      </c>
      <c r="C22" s="9" t="s">
        <v>58</v>
      </c>
      <c r="D22" s="9" t="s">
        <v>41</v>
      </c>
      <c r="E22" s="14"/>
      <c r="F22" s="13"/>
      <c r="G22" s="13"/>
      <c r="H22" s="13"/>
      <c r="I22" s="13"/>
      <c r="J22" s="13"/>
      <c r="K22" s="13"/>
    </row>
    <row r="23" spans="1:11" x14ac:dyDescent="0.25">
      <c r="A23" s="6" t="s">
        <v>16</v>
      </c>
      <c r="B23" s="10">
        <v>1</v>
      </c>
      <c r="C23" s="9" t="s">
        <v>59</v>
      </c>
      <c r="D23" s="9" t="s">
        <v>41</v>
      </c>
      <c r="E23" s="14"/>
      <c r="F23" s="13"/>
      <c r="G23" s="13"/>
      <c r="H23" s="13"/>
      <c r="I23" s="13"/>
      <c r="J23" s="13"/>
      <c r="K23" s="13"/>
    </row>
    <row r="24" spans="1:11" x14ac:dyDescent="0.25">
      <c r="A24" s="6" t="s">
        <v>78</v>
      </c>
      <c r="B24" s="10">
        <v>7.0000000000000007E-2</v>
      </c>
      <c r="C24" s="9" t="s">
        <v>79</v>
      </c>
      <c r="D24" s="9" t="s">
        <v>70</v>
      </c>
      <c r="E24" s="14"/>
      <c r="F24" s="13"/>
      <c r="G24" s="13"/>
      <c r="H24" s="13"/>
      <c r="I24" s="13"/>
      <c r="J24" s="13"/>
      <c r="K24" s="13"/>
    </row>
    <row r="25" spans="1:11" x14ac:dyDescent="0.25">
      <c r="A25" s="6" t="s">
        <v>67</v>
      </c>
      <c r="B25" s="7">
        <v>0.17499999999999999</v>
      </c>
      <c r="C25" s="9" t="s">
        <v>71</v>
      </c>
      <c r="D25" s="9" t="s">
        <v>70</v>
      </c>
      <c r="E25" s="14"/>
      <c r="F25" s="13"/>
      <c r="G25" s="13"/>
      <c r="H25" s="13"/>
      <c r="I25" s="13"/>
      <c r="J25" s="13"/>
      <c r="K25" s="13"/>
    </row>
    <row r="26" spans="1:11" x14ac:dyDescent="0.25">
      <c r="A26" s="6" t="s">
        <v>68</v>
      </c>
      <c r="B26" s="10">
        <f>AVERAGE(0.8,1.2)</f>
        <v>1</v>
      </c>
      <c r="C26" s="9" t="s">
        <v>69</v>
      </c>
      <c r="D26" s="9" t="s">
        <v>41</v>
      </c>
      <c r="E26" s="14"/>
      <c r="F26" s="13"/>
      <c r="G26" s="13"/>
      <c r="H26" s="13"/>
      <c r="I26" s="13"/>
      <c r="J26" s="13"/>
      <c r="K26" s="13"/>
    </row>
    <row r="27" spans="1:11" x14ac:dyDescent="0.25">
      <c r="A27" s="6" t="s">
        <v>76</v>
      </c>
      <c r="B27" s="10">
        <f>AVERAGE(0.95,1.15)</f>
        <v>1.0499999999999998</v>
      </c>
      <c r="C27" s="9" t="s">
        <v>77</v>
      </c>
      <c r="D27" s="9" t="s">
        <v>41</v>
      </c>
      <c r="E27" s="14"/>
      <c r="F27" s="13"/>
      <c r="G27" s="13"/>
      <c r="H27" s="13"/>
      <c r="I27" s="13"/>
      <c r="J27" s="13"/>
      <c r="K27" s="13"/>
    </row>
    <row r="28" spans="1:11" x14ac:dyDescent="0.25">
      <c r="A28" s="6" t="s">
        <v>72</v>
      </c>
      <c r="B28" s="10">
        <v>1</v>
      </c>
      <c r="C28" s="9" t="s">
        <v>73</v>
      </c>
      <c r="D28" s="9" t="s">
        <v>81</v>
      </c>
      <c r="E28" s="14"/>
      <c r="F28" s="13"/>
      <c r="G28" s="13"/>
      <c r="H28" s="13"/>
      <c r="I28" s="13"/>
      <c r="J28" s="13"/>
      <c r="K28" s="13"/>
    </row>
    <row r="29" spans="1:11" x14ac:dyDescent="0.25">
      <c r="A29" s="6" t="s">
        <v>74</v>
      </c>
      <c r="B29" s="10">
        <v>1</v>
      </c>
      <c r="C29" s="9" t="s">
        <v>75</v>
      </c>
      <c r="D29" s="9" t="s">
        <v>41</v>
      </c>
      <c r="E29" s="14"/>
      <c r="F29" s="13"/>
      <c r="G29" s="13"/>
      <c r="H29" s="13"/>
      <c r="I29" s="13"/>
      <c r="J29" s="13"/>
      <c r="K29" s="13"/>
    </row>
    <row r="30" spans="1:11" x14ac:dyDescent="0.25">
      <c r="A30" s="6" t="s">
        <v>66</v>
      </c>
      <c r="B30" s="10">
        <v>1</v>
      </c>
      <c r="C30" s="9" t="s">
        <v>65</v>
      </c>
      <c r="D30" s="9" t="s">
        <v>41</v>
      </c>
      <c r="E30" s="14"/>
      <c r="F30" s="13"/>
      <c r="G30" s="13"/>
      <c r="H30" s="13"/>
      <c r="I30" s="13"/>
      <c r="J30" s="13"/>
      <c r="K30" s="13"/>
    </row>
    <row r="31" spans="1:11" x14ac:dyDescent="0.25">
      <c r="A31" s="9" t="s">
        <v>80</v>
      </c>
      <c r="B31" s="9">
        <v>6</v>
      </c>
      <c r="C31" s="9" t="s">
        <v>82</v>
      </c>
      <c r="D31" s="9" t="s">
        <v>41</v>
      </c>
      <c r="E31" s="14"/>
      <c r="F31" s="13"/>
      <c r="G31" s="13"/>
      <c r="H31" s="13"/>
      <c r="I31" s="13"/>
      <c r="J31" s="13"/>
      <c r="K31" s="13"/>
    </row>
    <row r="32" spans="1:11" x14ac:dyDescent="0.25">
      <c r="A32" s="6" t="s">
        <v>18</v>
      </c>
      <c r="B32" s="10">
        <v>10</v>
      </c>
      <c r="C32" s="9" t="s">
        <v>36</v>
      </c>
      <c r="D32" s="9" t="s">
        <v>35</v>
      </c>
      <c r="E32" s="14"/>
    </row>
    <row r="33" spans="1:5" x14ac:dyDescent="0.25">
      <c r="A33" s="6" t="s">
        <v>19</v>
      </c>
      <c r="B33" s="10">
        <v>45.6</v>
      </c>
      <c r="C33" s="9" t="s">
        <v>36</v>
      </c>
      <c r="D33" s="9" t="s">
        <v>35</v>
      </c>
      <c r="E33" s="14"/>
    </row>
    <row r="34" spans="1:5" x14ac:dyDescent="0.25">
      <c r="A34" s="6" t="s">
        <v>20</v>
      </c>
      <c r="B34" s="10">
        <v>44.4</v>
      </c>
      <c r="C34" s="9" t="s">
        <v>36</v>
      </c>
      <c r="D34" s="9" t="s">
        <v>35</v>
      </c>
      <c r="E34" s="14"/>
    </row>
    <row r="35" spans="1:5" x14ac:dyDescent="0.25">
      <c r="A35" s="6" t="s">
        <v>21</v>
      </c>
      <c r="B35" s="10">
        <v>0</v>
      </c>
      <c r="C35" s="9" t="s">
        <v>36</v>
      </c>
      <c r="D35" s="9" t="s">
        <v>35</v>
      </c>
      <c r="E35" s="14"/>
    </row>
    <row r="36" spans="1:5" x14ac:dyDescent="0.25">
      <c r="A36" s="6" t="s">
        <v>22</v>
      </c>
      <c r="B36" s="10">
        <v>0</v>
      </c>
      <c r="C36" s="9" t="s">
        <v>36</v>
      </c>
      <c r="D36" s="9" t="s">
        <v>35</v>
      </c>
      <c r="E36" s="14"/>
    </row>
    <row r="37" spans="1:5" x14ac:dyDescent="0.25">
      <c r="A37" s="6" t="s">
        <v>23</v>
      </c>
      <c r="B37" s="10">
        <v>8</v>
      </c>
      <c r="C37" s="9" t="s">
        <v>38</v>
      </c>
      <c r="D37" s="9" t="s">
        <v>37</v>
      </c>
    </row>
    <row r="38" spans="1:5" x14ac:dyDescent="0.25">
      <c r="A38" s="6" t="s">
        <v>24</v>
      </c>
      <c r="B38" s="10">
        <v>21</v>
      </c>
      <c r="C38" s="9" t="s">
        <v>38</v>
      </c>
      <c r="D38" s="9" t="s">
        <v>37</v>
      </c>
    </row>
    <row r="39" spans="1:5" x14ac:dyDescent="0.25">
      <c r="A39" s="6" t="s">
        <v>25</v>
      </c>
      <c r="B39" s="10">
        <v>71</v>
      </c>
      <c r="C39" s="9" t="s">
        <v>38</v>
      </c>
      <c r="D39" s="9" t="s">
        <v>37</v>
      </c>
    </row>
    <row r="40" spans="1:5" x14ac:dyDescent="0.25">
      <c r="A40" s="6" t="s">
        <v>26</v>
      </c>
      <c r="B40" s="10">
        <v>0</v>
      </c>
      <c r="C40" s="9" t="s">
        <v>38</v>
      </c>
      <c r="D40" s="9" t="s">
        <v>37</v>
      </c>
    </row>
    <row r="41" spans="1:5" x14ac:dyDescent="0.25">
      <c r="A41" s="6" t="s">
        <v>27</v>
      </c>
      <c r="B41" s="10">
        <v>0</v>
      </c>
      <c r="C41" s="9" t="s">
        <v>38</v>
      </c>
      <c r="D41" s="9" t="s">
        <v>37</v>
      </c>
    </row>
    <row r="42" spans="1:5" x14ac:dyDescent="0.25">
      <c r="A42" s="6" t="s">
        <v>28</v>
      </c>
      <c r="B42" s="10">
        <v>10</v>
      </c>
      <c r="C42" s="9" t="s">
        <v>39</v>
      </c>
      <c r="D42" s="9" t="s">
        <v>35</v>
      </c>
    </row>
    <row r="43" spans="1:5" x14ac:dyDescent="0.25">
      <c r="A43" s="6" t="s">
        <v>29</v>
      </c>
      <c r="B43" s="10">
        <v>45</v>
      </c>
      <c r="C43" s="9" t="s">
        <v>39</v>
      </c>
      <c r="D43" s="9" t="s">
        <v>35</v>
      </c>
    </row>
    <row r="44" spans="1:5" x14ac:dyDescent="0.25">
      <c r="A44" s="6" t="s">
        <v>30</v>
      </c>
      <c r="B44" s="10">
        <v>45</v>
      </c>
      <c r="C44" s="9" t="s">
        <v>39</v>
      </c>
      <c r="D44" s="9" t="s">
        <v>35</v>
      </c>
    </row>
    <row r="45" spans="1:5" x14ac:dyDescent="0.25">
      <c r="A45" s="6" t="s">
        <v>31</v>
      </c>
      <c r="B45" s="10">
        <v>0</v>
      </c>
      <c r="C45" s="9" t="s">
        <v>39</v>
      </c>
      <c r="D45" s="9" t="s">
        <v>35</v>
      </c>
    </row>
    <row r="46" spans="1:5" x14ac:dyDescent="0.25">
      <c r="A46" s="6" t="s">
        <v>32</v>
      </c>
      <c r="B46" s="10">
        <v>0</v>
      </c>
      <c r="C46" s="9" t="s">
        <v>39</v>
      </c>
      <c r="D46" s="9" t="s">
        <v>35</v>
      </c>
    </row>
    <row r="47" spans="1:5" x14ac:dyDescent="0.25">
      <c r="A47" s="18" t="s">
        <v>98</v>
      </c>
      <c r="B47" s="19">
        <v>0.13600000000000001</v>
      </c>
      <c r="C47" s="1" t="s">
        <v>105</v>
      </c>
      <c r="D47" s="1" t="s">
        <v>112</v>
      </c>
    </row>
    <row r="48" spans="1:5" x14ac:dyDescent="0.25">
      <c r="A48" s="18" t="s">
        <v>99</v>
      </c>
      <c r="B48" s="19">
        <v>90.484666666666669</v>
      </c>
      <c r="C48" s="1" t="s">
        <v>106</v>
      </c>
      <c r="D48" s="1" t="s">
        <v>112</v>
      </c>
    </row>
    <row r="49" spans="1:4" x14ac:dyDescent="0.25">
      <c r="A49" s="18" t="s">
        <v>100</v>
      </c>
      <c r="B49" s="19">
        <v>203.87066666666666</v>
      </c>
      <c r="C49" s="1" t="s">
        <v>107</v>
      </c>
      <c r="D49" s="1" t="s">
        <v>112</v>
      </c>
    </row>
    <row r="50" spans="1:4" x14ac:dyDescent="0.25">
      <c r="A50" s="18" t="s">
        <v>101</v>
      </c>
      <c r="B50" s="19">
        <v>9.9220000000000006</v>
      </c>
      <c r="C50" s="1" t="s">
        <v>108</v>
      </c>
      <c r="D50" s="1" t="s">
        <v>112</v>
      </c>
    </row>
    <row r="51" spans="1:4" x14ac:dyDescent="0.25">
      <c r="A51" s="18" t="s">
        <v>102</v>
      </c>
      <c r="B51" s="19">
        <v>3.5128666666666666</v>
      </c>
      <c r="C51" s="1" t="s">
        <v>109</v>
      </c>
      <c r="D51" s="1" t="s">
        <v>112</v>
      </c>
    </row>
    <row r="52" spans="1:4" x14ac:dyDescent="0.25">
      <c r="A52" s="18" t="s">
        <v>103</v>
      </c>
      <c r="B52" s="19">
        <v>2.7488666666666668</v>
      </c>
      <c r="C52" s="1" t="s">
        <v>110</v>
      </c>
      <c r="D52" s="1" t="s">
        <v>112</v>
      </c>
    </row>
    <row r="53" spans="1:4" x14ac:dyDescent="0.25">
      <c r="A53" s="18" t="s">
        <v>104</v>
      </c>
      <c r="B53" s="19">
        <v>1.5633333333333332E-2</v>
      </c>
      <c r="C53" s="1" t="s">
        <v>111</v>
      </c>
      <c r="D53" s="1" t="s">
        <v>112</v>
      </c>
    </row>
    <row r="55" spans="1:4" x14ac:dyDescent="0.25">
      <c r="C55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8B17-7269-4F2F-92E8-31F5689AF28A}">
  <dimension ref="B2:F5"/>
  <sheetViews>
    <sheetView workbookViewId="0">
      <selection activeCell="F3" sqref="F3"/>
    </sheetView>
  </sheetViews>
  <sheetFormatPr defaultRowHeight="15" x14ac:dyDescent="0.25"/>
  <cols>
    <col min="6" max="6" width="10.7109375" bestFit="1" customWidth="1"/>
  </cols>
  <sheetData>
    <row r="2" spans="2:6" x14ac:dyDescent="0.25">
      <c r="B2" t="s">
        <v>96</v>
      </c>
      <c r="C2" s="16">
        <v>1</v>
      </c>
      <c r="D2" t="s">
        <v>97</v>
      </c>
      <c r="F2" s="17">
        <v>45968</v>
      </c>
    </row>
    <row r="5" spans="2:6" x14ac:dyDescent="0.25">
      <c r="B5" s="1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factors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Avadi, Angel</dc:creator>
  <cp:lastModifiedBy>Avadi, Angel</cp:lastModifiedBy>
  <dcterms:created xsi:type="dcterms:W3CDTF">2015-06-05T18:17:20Z</dcterms:created>
  <dcterms:modified xsi:type="dcterms:W3CDTF">2025-11-10T16:44:10Z</dcterms:modified>
</cp:coreProperties>
</file>