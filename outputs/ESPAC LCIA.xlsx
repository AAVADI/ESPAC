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irtacat-my.sharepoint.com/personal/angel_avadi_irta_cat/Documents/Documents/_Proyectos/ESPAC/outputs/"/>
    </mc:Choice>
  </mc:AlternateContent>
  <xr:revisionPtr revIDLastSave="155" documentId="11_F25DC773A252ABDACC104896819841BA5BDE58EF" xr6:coauthVersionLast="47" xr6:coauthVersionMax="47" xr10:uidLastSave="{C752365B-9A9F-44CB-A21F-9C248F26A6E1}"/>
  <bookViews>
    <workbookView xWindow="-28920" yWindow="-75" windowWidth="29040" windowHeight="15720" activeTab="4" xr2:uid="{00000000-000D-0000-FFFF-FFFF00000000}"/>
  </bookViews>
  <sheets>
    <sheet name="ESPAC" sheetId="1" r:id="rId1"/>
    <sheet name="regional differences" sheetId="6" r:id="rId2"/>
    <sheet name="comparisons" sheetId="3" r:id="rId3"/>
    <sheet name="individual tropical crops" sheetId="4" r:id="rId4"/>
    <sheet name="uncertainty" sheetId="5" r:id="rId5"/>
    <sheet name="diet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7" l="1"/>
  <c r="R21" i="7" s="1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3" i="7"/>
  <c r="F4" i="7"/>
  <c r="E24" i="7" l="1"/>
  <c r="D24" i="7"/>
  <c r="C24" i="7"/>
  <c r="H23" i="7"/>
  <c r="G23" i="7"/>
  <c r="H22" i="7"/>
  <c r="G22" i="7"/>
  <c r="Q21" i="7"/>
  <c r="P21" i="7"/>
  <c r="M21" i="7"/>
  <c r="L21" i="7"/>
  <c r="K21" i="7"/>
  <c r="H21" i="7"/>
  <c r="G21" i="7"/>
  <c r="T20" i="7"/>
  <c r="S20" i="7"/>
  <c r="O20" i="7"/>
  <c r="N20" i="7"/>
  <c r="H20" i="7"/>
  <c r="G20" i="7"/>
  <c r="T19" i="7"/>
  <c r="S19" i="7"/>
  <c r="O19" i="7"/>
  <c r="N19" i="7"/>
  <c r="H19" i="7"/>
  <c r="G19" i="7"/>
  <c r="T18" i="7"/>
  <c r="S18" i="7"/>
  <c r="O18" i="7"/>
  <c r="N18" i="7"/>
  <c r="H18" i="7"/>
  <c r="G18" i="7"/>
  <c r="T17" i="7"/>
  <c r="S17" i="7"/>
  <c r="O17" i="7"/>
  <c r="N17" i="7"/>
  <c r="H17" i="7"/>
  <c r="G17" i="7"/>
  <c r="T16" i="7"/>
  <c r="S16" i="7"/>
  <c r="O16" i="7"/>
  <c r="N16" i="7"/>
  <c r="H16" i="7"/>
  <c r="G16" i="7"/>
  <c r="T15" i="7"/>
  <c r="S15" i="7"/>
  <c r="O15" i="7"/>
  <c r="N15" i="7"/>
  <c r="H15" i="7"/>
  <c r="G15" i="7"/>
  <c r="T14" i="7"/>
  <c r="S14" i="7"/>
  <c r="O14" i="7"/>
  <c r="N14" i="7"/>
  <c r="H14" i="7"/>
  <c r="G14" i="7"/>
  <c r="T13" i="7"/>
  <c r="S13" i="7"/>
  <c r="O13" i="7"/>
  <c r="N13" i="7"/>
  <c r="H13" i="7"/>
  <c r="G13" i="7"/>
  <c r="T12" i="7"/>
  <c r="S12" i="7"/>
  <c r="O12" i="7"/>
  <c r="N12" i="7"/>
  <c r="H12" i="7"/>
  <c r="G12" i="7"/>
  <c r="T11" i="7"/>
  <c r="S11" i="7"/>
  <c r="O11" i="7"/>
  <c r="N11" i="7"/>
  <c r="H11" i="7"/>
  <c r="G11" i="7"/>
  <c r="T10" i="7"/>
  <c r="S10" i="7"/>
  <c r="O10" i="7"/>
  <c r="N10" i="7"/>
  <c r="H10" i="7"/>
  <c r="G10" i="7"/>
  <c r="T9" i="7"/>
  <c r="S9" i="7"/>
  <c r="O9" i="7"/>
  <c r="N9" i="7"/>
  <c r="H9" i="7"/>
  <c r="G9" i="7"/>
  <c r="T8" i="7"/>
  <c r="S8" i="7"/>
  <c r="O8" i="7"/>
  <c r="N8" i="7"/>
  <c r="H8" i="7"/>
  <c r="G8" i="7"/>
  <c r="T7" i="7"/>
  <c r="S7" i="7"/>
  <c r="O7" i="7"/>
  <c r="N7" i="7"/>
  <c r="H7" i="7"/>
  <c r="G7" i="7"/>
  <c r="T6" i="7"/>
  <c r="S6" i="7"/>
  <c r="O6" i="7"/>
  <c r="N6" i="7"/>
  <c r="H6" i="7"/>
  <c r="G6" i="7"/>
  <c r="T5" i="7"/>
  <c r="S5" i="7"/>
  <c r="O5" i="7"/>
  <c r="N5" i="7"/>
  <c r="H5" i="7"/>
  <c r="G5" i="7"/>
  <c r="T4" i="7"/>
  <c r="S4" i="7"/>
  <c r="O4" i="7"/>
  <c r="N4" i="7"/>
  <c r="H4" i="7"/>
  <c r="G4" i="7"/>
  <c r="S21" i="7" l="1"/>
  <c r="H24" i="7"/>
  <c r="F24" i="7"/>
  <c r="G24" i="7"/>
  <c r="T21" i="7"/>
  <c r="O21" i="7"/>
  <c r="N21" i="7"/>
</calcChain>
</file>

<file path=xl/sharedStrings.xml><?xml version="1.0" encoding="utf-8"?>
<sst xmlns="http://schemas.openxmlformats.org/spreadsheetml/2006/main" count="1705" uniqueCount="1065">
  <si>
    <t xml:space="preserve">Calculation: </t>
  </si>
  <si>
    <t>Comparar</t>
  </si>
  <si>
    <t xml:space="preserve">Results: </t>
  </si>
  <si>
    <t>Evaluación del impacto</t>
  </si>
  <si>
    <t xml:space="preserve">Product 1: </t>
  </si>
  <si>
    <t>1 kg cereals | summary: strategy_8 (del proyecto Ecuador_needs)</t>
  </si>
  <si>
    <t xml:space="preserve">Product 2: </t>
  </si>
  <si>
    <t>1 kg forages_pastures | summary: strategy_8 (del proyecto Ecuador_needs)</t>
  </si>
  <si>
    <t xml:space="preserve">Product 3: </t>
  </si>
  <si>
    <t>1 kg fruits | summary: strategy_8 (del proyecto Ecuador_needs)</t>
  </si>
  <si>
    <t xml:space="preserve">Product 4: </t>
  </si>
  <si>
    <t>1 kg industrial_cash | summary: strategy_8 (del proyecto Ecuador_needs)</t>
  </si>
  <si>
    <t xml:space="preserve">Product 5: </t>
  </si>
  <si>
    <t>1 kg pulses_oilseeds | summary: strategy_8 (del proyecto Ecuador_needs)</t>
  </si>
  <si>
    <t xml:space="preserve">Product 6: </t>
  </si>
  <si>
    <t>1 kg roots_tubers | summary: strategy_8 (del proyecto Ecuador_needs)</t>
  </si>
  <si>
    <t xml:space="preserve">Product 7: </t>
  </si>
  <si>
    <t>1 kg vegetables | summary: strategy_8 (del proyecto Ecuador_needs)</t>
  </si>
  <si>
    <t xml:space="preserve">Método: </t>
  </si>
  <si>
    <t>IMPACT World+ Expert 2.2.1 (incl. CO2 uptake) V2.02 / IMPACT World+ (Stepwise 2006 values)</t>
  </si>
  <si>
    <t xml:space="preserve">Indicador: </t>
  </si>
  <si>
    <t>Puntuación única</t>
  </si>
  <si>
    <t xml:space="preserve">Skip categories: </t>
  </si>
  <si>
    <t>Nunca</t>
  </si>
  <si>
    <t xml:space="preserve">Default units: </t>
  </si>
  <si>
    <t>No</t>
  </si>
  <si>
    <t xml:space="preserve">Excluir procesos de infrastructura: </t>
  </si>
  <si>
    <t xml:space="preserve">Excluir emisiones a largo plazo: </t>
  </si>
  <si>
    <t xml:space="preserve">Per impact category: </t>
  </si>
  <si>
    <t xml:space="preserve">Sorted on item: </t>
  </si>
  <si>
    <t>Daño de categoría</t>
  </si>
  <si>
    <t xml:space="preserve">Sort order: </t>
  </si>
  <si>
    <t>Ascendente</t>
  </si>
  <si>
    <t>Unidad</t>
  </si>
  <si>
    <t>cereals | summary: strategy_8</t>
  </si>
  <si>
    <t>forages_pastures | summary: strategy_8</t>
  </si>
  <si>
    <t>fruits | summary: strategy_8</t>
  </si>
  <si>
    <t>industrial_cash | summary: strategy_8</t>
  </si>
  <si>
    <t>pulses_oilseeds | summary: strategy_8</t>
  </si>
  <si>
    <t>roots_tubers | summary: strategy_8</t>
  </si>
  <si>
    <t>vegetables | summary: strategy_8</t>
  </si>
  <si>
    <t>Total</t>
  </si>
  <si>
    <t>Pt</t>
  </si>
  <si>
    <t>Human health</t>
  </si>
  <si>
    <t>Ecosystem quality</t>
  </si>
  <si>
    <t xml:space="preserve">Product 8: </t>
  </si>
  <si>
    <t>1 kg product: cattle_live | summary: strategy_9 (del proyecto Ecuador_needs)</t>
  </si>
  <si>
    <t xml:space="preserve">Product 9: </t>
  </si>
  <si>
    <t>1 kg product: goat_live | summary: strategy_9 (del proyecto Ecuador_needs)</t>
  </si>
  <si>
    <t xml:space="preserve">Product 10: </t>
  </si>
  <si>
    <t>1 kg product: meat_poultry | summary: strategy_9 (del proyecto Ecuador_needs)</t>
  </si>
  <si>
    <t xml:space="preserve">Product 11: </t>
  </si>
  <si>
    <t>1 kg product: ovine_live | summary: strategy_9 (del proyecto Ecuador_needs)</t>
  </si>
  <si>
    <t xml:space="preserve">Product 12: </t>
  </si>
  <si>
    <t>1 kg product: swine_live | summary: strategy_9 (del proyecto Ecuador_needs)</t>
  </si>
  <si>
    <t xml:space="preserve">Product 13: </t>
  </si>
  <si>
    <t>1 kg product: eggs | summary: strategy_9 (del proyecto Ecuador_needs)</t>
  </si>
  <si>
    <t xml:space="preserve">Product 14: </t>
  </si>
  <si>
    <t>1 kg product: milk | summary: strategy_9 (del proyecto Ecuador_needs)</t>
  </si>
  <si>
    <t xml:space="preserve">Product 15: </t>
  </si>
  <si>
    <t>1 kg livestock meat consumption mix (del proyecto Ecuador_needs)</t>
  </si>
  <si>
    <t>product: cattle_live | summary: strategy_9</t>
  </si>
  <si>
    <t>product: goat_live | summary: strategy_9</t>
  </si>
  <si>
    <t>product: meat_poultry | summary: strategy_9</t>
  </si>
  <si>
    <t>product: ovine_live | summary: strategy_9</t>
  </si>
  <si>
    <t>product: swine_live | summary: strategy_9</t>
  </si>
  <si>
    <t>product: eggs | summary: strategy_9</t>
  </si>
  <si>
    <t>product: milk | summary: strategy_9</t>
  </si>
  <si>
    <t>livestock meat consumption mix</t>
  </si>
  <si>
    <t>1 kg product: donkey_live | summary: strategy_9 (del proyecto Ecuador_needs)</t>
  </si>
  <si>
    <t>1 kg product: horse_live | summary: strategy_9 (del proyecto Ecuador_needs)</t>
  </si>
  <si>
    <t>1 kg product: mule_live | summary: strategy_9 (del proyecto Ecuador_needs)</t>
  </si>
  <si>
    <t>product: donkey_live | summary: strategy_9</t>
  </si>
  <si>
    <t>product: horse_live | summary: strategy_9</t>
  </si>
  <si>
    <t>product: mule_live | summary: strategy_9</t>
  </si>
  <si>
    <t>Promedio</t>
  </si>
  <si>
    <t>Mediana</t>
  </si>
  <si>
    <t>SD</t>
  </si>
  <si>
    <t>CV</t>
  </si>
  <si>
    <t>SEM</t>
  </si>
  <si>
    <t xml:space="preserve">Intervalo de confidencia: </t>
  </si>
  <si>
    <t>Categoría de impacto</t>
  </si>
  <si>
    <t>PDF.m2.yr</t>
  </si>
  <si>
    <t>DALY</t>
  </si>
  <si>
    <t>Fisheries impact</t>
  </si>
  <si>
    <t>Freshwater acidification</t>
  </si>
  <si>
    <t>Freshwater eutrophication</t>
  </si>
  <si>
    <t>Marine eutrophication</t>
  </si>
  <si>
    <t>Ozone layer depletion</t>
  </si>
  <si>
    <t>Particulate matter formation</t>
  </si>
  <si>
    <t>Physical effects on biota</t>
  </si>
  <si>
    <t>Terrestrial acidification</t>
  </si>
  <si>
    <t>Thermally polluted water</t>
  </si>
  <si>
    <t>cacao per region</t>
  </si>
  <si>
    <t>arroz per province</t>
  </si>
  <si>
    <t>1 kg crop: ARROZ (EN CÁSCARA) | category: transitory | region: costa | province: EL ORO | summary: strategy_1 (del proyecto Ecuador_needs)</t>
  </si>
  <si>
    <t>1 kg crop: ARROZ (EN CÁSCARA) | category: transitory | region: costa | province: GUAYAS | summary: strategy_1 (del proyecto Ecuador_needs)</t>
  </si>
  <si>
    <t>1 kg crop: ARROZ (EN CÁSCARA) | category: transitory | region: costa | province: LOS RÍOS | summary: strategy_1 (del proyecto Ecuador_needs)</t>
  </si>
  <si>
    <t>1 kg crop: ARROZ (EN CÁSCARA) | category: transitory | region: costa | province: MANABÍ | summary: strategy_1 (del proyecto Ecuador_needs)</t>
  </si>
  <si>
    <t>1 kg crop: ARROZ (EN CÁSCARA) | category: transitory | region: oriente | province: ORELLANA | summary: strategy_1 (del proyecto Ecuador_needs)</t>
  </si>
  <si>
    <t>1 kg crop: ARROZ (EN CÁSCARA) | category: transitory | region: oriente | province: SUCUMBÍOS | summary: strategy_1 (del proyecto Ecuador_needs)</t>
  </si>
  <si>
    <t>1 kg crop: ARROZ (EN CÁSCARA) | category: transitory | region: sierra | province: BOLÍVAR | summary: strategy_1 (del proyecto Ecuador_needs)</t>
  </si>
  <si>
    <t>1 kg crop: ARROZ (EN CÁSCARA) | category: transitory | region: sierra | province: COTOPAXI | summary: strategy_1 (del proyecto Ecuador_needs)</t>
  </si>
  <si>
    <t>1 kg crop: ARROZ (EN CÁSCARA) | category: transitory | region: sierra | province: LOJA | summary: strategy_1 (del proyecto Ecuador_needs)</t>
  </si>
  <si>
    <t>crop: ARROZ (EN CÁSCARA) | category: transitory | region: costa | province: EL ORO | summary: strategy_1</t>
  </si>
  <si>
    <t>crop: ARROZ (EN CÁSCARA) | category: transitory | region: costa | province: GUAYAS | summary: strategy_1</t>
  </si>
  <si>
    <t>crop: ARROZ (EN CÁSCARA) | category: transitory | region: costa | province: LOS RÍOS | summary: strategy_1</t>
  </si>
  <si>
    <t>crop: ARROZ (EN CÁSCARA) | category: transitory | region: costa | province: MANABÍ | summary: strategy_1</t>
  </si>
  <si>
    <t>crop: ARROZ (EN CÁSCARA) | category: transitory | region: oriente | province: ORELLANA | summary: strategy_1</t>
  </si>
  <si>
    <t>crop: ARROZ (EN CÁSCARA) | category: transitory | region: oriente | province: SUCUMBÍOS | summary: strategy_1</t>
  </si>
  <si>
    <t>crop: ARROZ (EN CÁSCARA) | category: transitory | region: sierra | province: BOLÍVAR | summary: strategy_1</t>
  </si>
  <si>
    <t>crop: ARROZ (EN CÁSCARA) | category: transitory | region: sierra | province: COTOPAXI | summary: strategy_1</t>
  </si>
  <si>
    <t>crop: ARROZ (EN CÁSCARA) | category: transitory | region: sierra | province: LOJA | summary: strategy_1</t>
  </si>
  <si>
    <t>1 kg crop: CACAO (ALMENDRA SECA) | category: permanent | region: costa | summary: strategy_2 (del proyecto Ecuador_needs)</t>
  </si>
  <si>
    <t>1 kg cropping system: associated | crop: CACAO (ALMENDRA SECA) | category: permanent | region: costa | summary: strategy_4 (del proyecto Ecuador_needs)</t>
  </si>
  <si>
    <t>1 kg cropping system: mono | crop: CACAO (ALMENDRA SECA) | category: permanent | region: costa | summary: strategy_4 (del proyecto Ecuador_needs)</t>
  </si>
  <si>
    <t>1 kg crop: CACAO (ALMENDRA SECA) | category: permanent | region: oriente | summary: strategy_2 (del proyecto Ecuador_needs)</t>
  </si>
  <si>
    <t>1 kg cropping system: associated | crop: CACAO (ALMENDRA SECA) | category: permanent | region: oriente | summary: strategy_4 (del proyecto Ecuador_needs)</t>
  </si>
  <si>
    <t>1 kg cropping system: mono | crop: CACAO (ALMENDRA SECA) | category: permanent | region: oriente | summary: strategy_4 (del proyecto Ecuador_needs)</t>
  </si>
  <si>
    <t>1 kg crop: CACAO (ALMENDRA SECA) | category: permanent | region: sierra | summary: strategy_2 (del proyecto Ecuador_needs)</t>
  </si>
  <si>
    <t>1 kg cropping system: associated | crop: CACAO (ALMENDRA SECA) | category: permanent | region: sierra | summary: strategy_4 (del proyecto Ecuador_needs)</t>
  </si>
  <si>
    <t>1 kg cropping system: mono | crop: CACAO (ALMENDRA SECA) | category: permanent | region: sierra | summary: strategy_4 (del proyecto Ecuador_needs)</t>
  </si>
  <si>
    <t>crop: CACAO (ALMENDRA SECA) | category: permanent | region: costa | summary: strategy_2</t>
  </si>
  <si>
    <t>cropping system: associated | crop: CACAO (ALMENDRA SECA) | category: permanent | region: costa | summary: strategy_4</t>
  </si>
  <si>
    <t>cropping system: mono | crop: CACAO (ALMENDRA SECA) | category: permanent | region: costa | summary: strategy_4</t>
  </si>
  <si>
    <t>crop: CACAO (ALMENDRA SECA) | category: permanent | region: oriente | summary: strategy_2</t>
  </si>
  <si>
    <t>cropping system: associated | crop: CACAO (ALMENDRA SECA) | category: permanent | region: oriente | summary: strategy_4</t>
  </si>
  <si>
    <t>cropping system: mono | crop: CACAO (ALMENDRA SECA) | category: permanent | region: oriente | summary: strategy_4</t>
  </si>
  <si>
    <t>crop: CACAO (ALMENDRA SECA) | category: permanent | region: sierra | summary: strategy_2</t>
  </si>
  <si>
    <t>cropping system: associated | crop: CACAO (ALMENDRA SECA) | category: permanent | region: sierra | summary: strategy_4</t>
  </si>
  <si>
    <t>cropping system: mono | crop: CACAO (ALMENDRA SECA) | category: permanent | region: sierra | summary: strategy_4</t>
  </si>
  <si>
    <t>all crops  + OTROS PERMANENTES/TRANSITORIOS - national</t>
  </si>
  <si>
    <t>Milk Monte Carlo (national)</t>
  </si>
  <si>
    <t>1 kg crop: ABACÁ | category: permanent | summary: strategy_3 (del proyecto Ecuador_needs)</t>
  </si>
  <si>
    <t>1 kg crop: ACELGA | category: transitory | summary: strategy_3 (del proyecto Ecuador_needs)</t>
  </si>
  <si>
    <t>1 kg crop: ACHIOTE | category: permanent | summary: strategy_3 (del proyecto Ecuador_needs)</t>
  </si>
  <si>
    <t>1 kg crop: AGUACATE (FRUTA FRESCA) | category: permanent | summary: strategy_3 (del proyecto Ecuador_needs)</t>
  </si>
  <si>
    <t>1 kg crop: AJI | category: transitory | summary: strategy_3 (del proyecto Ecuador_needs)</t>
  </si>
  <si>
    <t>1 kg crop: AJONJOLI | category: transitory | summary: strategy_3 (del proyecto Ecuador_needs)</t>
  </si>
  <si>
    <t>1 kg crop: ALCACHOFA | category: permanent | summary: strategy_3 (del proyecto Ecuador_needs)</t>
  </si>
  <si>
    <t>1 kg crop: ALFALFA | category: transitory | summary: strategy_3 (del proyecto Ecuador_needs)</t>
  </si>
  <si>
    <t>1 kg crop: APIO | category: transitory | summary: strategy_3 (del proyecto Ecuador_needs)</t>
  </si>
  <si>
    <t>1 kg crop: ARÁNDANO | category: permanent | summary: strategy_3 (del proyecto Ecuador_needs)</t>
  </si>
  <si>
    <t>1 kg crop: ARROZ (EN CÁSCARA) | category: transitory | summary: strategy_3 (del proyecto Ecuador_needs)</t>
  </si>
  <si>
    <t>1 kg crop: ARROZ | category: transitory | summary: strategy_3 (del proyecto Ecuador_needs)</t>
  </si>
  <si>
    <t>1 kg crop: ARVEJA SECA (GRANO SECO) | category: transitory | summary: strategy_3 (del proyecto Ecuador_needs)</t>
  </si>
  <si>
    <t>1 kg crop: ARVEJA TIERNA (VAINA) | category: transitory | summary: strategy_3 (del proyecto Ecuador_needs)</t>
  </si>
  <si>
    <t>1 kg crop: AVENA | category: transitory | summary: strategy_3 (del proyecto Ecuador_needs)</t>
  </si>
  <si>
    <t xml:space="preserve">Product 16: </t>
  </si>
  <si>
    <t>1 kg crop: AVENA FORRAJERA | category: transitory | summary: strategy_3 (del proyecto Ecuador_needs)</t>
  </si>
  <si>
    <t xml:space="preserve">Product 17: </t>
  </si>
  <si>
    <t>1 kg crop: BABACO | category: permanent | summary: strategy_3 (del proyecto Ecuador_needs)</t>
  </si>
  <si>
    <t xml:space="preserve">Product 18: </t>
  </si>
  <si>
    <t>1 kg crop: BAMBÚ O CAÑA GUADUA | category: permanent | summary: strategy_3 (del proyecto Ecuador_needs)</t>
  </si>
  <si>
    <t xml:space="preserve">Product 19: </t>
  </si>
  <si>
    <t>1 kg crop: BANANO (FRUTA FRESCA) | category: permanent | summary: strategy_3 (del proyecto Ecuador_needs)</t>
  </si>
  <si>
    <t xml:space="preserve">Product 20: </t>
  </si>
  <si>
    <t>1 kg crop: BRACHIARIA | category: cultivated_pasture | summary: strategy_3 (del proyecto Ecuador_needs)</t>
  </si>
  <si>
    <t xml:space="preserve">Product 21: </t>
  </si>
  <si>
    <t>1 kg crop: BROCOLI | category: transitory | summary: strategy_3 (del proyecto Ecuador_needs)</t>
  </si>
  <si>
    <t xml:space="preserve">Product 22: </t>
  </si>
  <si>
    <t>1 kg crop: CACAO (ALMENDRA SECA) | category: permanent | summary: strategy_3 (del proyecto Ecuador_needs)</t>
  </si>
  <si>
    <t xml:space="preserve">Product 23: </t>
  </si>
  <si>
    <t>1 kg crop: CACAO CCN51 O RAMILLA (ALMENDRA FRESCA) | category: transitory | summary: strategy_3 (del proyecto Ecuador_needs)</t>
  </si>
  <si>
    <t xml:space="preserve">Product 24: </t>
  </si>
  <si>
    <t>1 kg crop: CAFÉ (GRANO ORO) | category: permanent | summary: strategy_3 (del proyecto Ecuador_needs)</t>
  </si>
  <si>
    <t xml:space="preserve">Product 25: </t>
  </si>
  <si>
    <t>1 kg crop: CAMOTE | category: transitory | summary: strategy_3 (del proyecto Ecuador_needs)</t>
  </si>
  <si>
    <t xml:space="preserve">Product 26: </t>
  </si>
  <si>
    <t>1 kg crop: CAÑA DE AZÚCAR / AZÚCAR (TALLO FRESCO) | category: permanent | summary: strategy_3 (del proyecto Ecuador_needs)</t>
  </si>
  <si>
    <t xml:space="preserve">Product 27: </t>
  </si>
  <si>
    <t>1 kg crop: CAÑA DE AZÚCAR / OTROS USOS (TALLO FRESCO) | category: permanent | summary: strategy_3 (del proyecto Ecuador_needs)</t>
  </si>
  <si>
    <t xml:space="preserve">Product 28: </t>
  </si>
  <si>
    <t>1 kg crop: CAÑA DE AZÚCAR /BIOCOMBUSTIBLE | category: permanent | summary: strategy_3 (del proyecto Ecuador_needs)</t>
  </si>
  <si>
    <t xml:space="preserve">Product 29: </t>
  </si>
  <si>
    <t>1 kg crop: CAUCHO | category: permanent | summary: strategy_3 (del proyecto Ecuador_needs)</t>
  </si>
  <si>
    <t xml:space="preserve">Product 30: </t>
  </si>
  <si>
    <t>1 kg crop: CEBADA | category: transitory | summary: strategy_3 (del proyecto Ecuador_needs)</t>
  </si>
  <si>
    <t xml:space="preserve">Product 31: </t>
  </si>
  <si>
    <t>1 kg crop: CEBADA FORRAJERA | category: transitory | summary: strategy_3 (del proyecto Ecuador_needs)</t>
  </si>
  <si>
    <t xml:space="preserve">Product 32: </t>
  </si>
  <si>
    <t>1 kg crop: CEBOLLA BLANCA | category: transitory | summary: strategy_3 (del proyecto Ecuador_needs)</t>
  </si>
  <si>
    <t xml:space="preserve">Product 33: </t>
  </si>
  <si>
    <t>1 kg crop: CEBOLLA COLORADA | category: transitory | summary: strategy_3 (del proyecto Ecuador_needs)</t>
  </si>
  <si>
    <t xml:space="preserve">Product 34: </t>
  </si>
  <si>
    <t>1 kg crop: CEBOLLA PERLA | category: transitory | summary: strategy_3 (del proyecto Ecuador_needs)</t>
  </si>
  <si>
    <t xml:space="preserve">Product 35: </t>
  </si>
  <si>
    <t>1 kg crop: CENTENO | category: transitory | summary: strategy_3 (del proyecto Ecuador_needs)</t>
  </si>
  <si>
    <t xml:space="preserve">Product 36: </t>
  </si>
  <si>
    <t>1 kg crop: CILANTRO | category: transitory | summary: strategy_3 (del proyecto Ecuador_needs)</t>
  </si>
  <si>
    <t xml:space="preserve">Product 37: </t>
  </si>
  <si>
    <t>1 kg crop: CIRUELO | category: permanent | summary: strategy_3 (del proyecto Ecuador_needs)</t>
  </si>
  <si>
    <t xml:space="preserve">Product 38: </t>
  </si>
  <si>
    <t>1 kg crop: CLAUDIA | category: permanent | summary: strategy_3 (del proyecto Ecuador_needs)</t>
  </si>
  <si>
    <t xml:space="preserve">Product 39: </t>
  </si>
  <si>
    <t>1 kg crop: COCO (COCOTERO) | category: permanent | summary: strategy_3 (del proyecto Ecuador_needs)</t>
  </si>
  <si>
    <t xml:space="preserve">Product 40: </t>
  </si>
  <si>
    <t>1 kg crop: COL | category: transitory | summary: strategy_3 (del proyecto Ecuador_needs)</t>
  </si>
  <si>
    <t xml:space="preserve">Product 41: </t>
  </si>
  <si>
    <t>1 kg crop: COLIFLOR | category: transitory | summary: strategy_3 (del proyecto Ecuador_needs)</t>
  </si>
  <si>
    <t xml:space="preserve">Product 42: </t>
  </si>
  <si>
    <t>1 kg crop: CHIRIMOYA | category: permanent | summary: strategy_3 (del proyecto Ecuador_needs)</t>
  </si>
  <si>
    <t xml:space="preserve">Product 43: </t>
  </si>
  <si>
    <t>1 kg crop: CHOCHO | category: transitory | summary: strategy_3 (del proyecto Ecuador_needs)</t>
  </si>
  <si>
    <t xml:space="preserve">Product 44: </t>
  </si>
  <si>
    <t>1 kg crop: DURAZNO (MELOCOTON) | category: permanent | summary: strategy_3 (del proyecto Ecuador_needs)</t>
  </si>
  <si>
    <t xml:space="preserve">Product 45: </t>
  </si>
  <si>
    <t>1 kg crop: ESPARRAGO | category: permanent | summary: strategy_3 (del proyecto Ecuador_needs)</t>
  </si>
  <si>
    <t xml:space="preserve">Product 46: </t>
  </si>
  <si>
    <t>1 kg crop: ESPINACA | category: transitory | summary: strategy_3 (del proyecto Ecuador_needs)</t>
  </si>
  <si>
    <t xml:space="preserve">Product 47: </t>
  </si>
  <si>
    <t>1 kg crop: FREJOL SECO (GRANO SECO) | category: transitory | summary: strategy_3 (del proyecto Ecuador_needs)</t>
  </si>
  <si>
    <t xml:space="preserve">Product 48: </t>
  </si>
  <si>
    <t>1 kg crop: FREJOL SECO (VAINA SECA) | category: transitory | summary: strategy_3 (del proyecto Ecuador_needs)</t>
  </si>
  <si>
    <t xml:space="preserve">Product 49: </t>
  </si>
  <si>
    <t>1 kg crop: FREJOL TIERNO (VAINA) | category: transitory | summary: strategy_3 (del proyecto Ecuador_needs)</t>
  </si>
  <si>
    <t xml:space="preserve">Product 50: </t>
  </si>
  <si>
    <t>1 kg crop: FRUTILLAS O FRESAS | category: permanent | summary: strategy_3 (del proyecto Ecuador_needs)</t>
  </si>
  <si>
    <t xml:space="preserve">Product 51: </t>
  </si>
  <si>
    <t>1 kg crop: GRAMALOTE | category: cultivated_pasture | summary: strategy_3 (del proyecto Ecuador_needs)</t>
  </si>
  <si>
    <t xml:space="preserve">Product 52: </t>
  </si>
  <si>
    <t>1 kg crop: GRANADILLA | category: permanent | summary: strategy_3 (del proyecto Ecuador_needs)</t>
  </si>
  <si>
    <t xml:space="preserve">Product 53: </t>
  </si>
  <si>
    <t>1 kg crop: GUABA | category: permanent | summary: strategy_3 (del proyecto Ecuador_needs)</t>
  </si>
  <si>
    <t xml:space="preserve">Product 54: </t>
  </si>
  <si>
    <t>1 kg crop: HABA SECA (GRANO SECO) | category: transitory | summary: strategy_3 (del proyecto Ecuador_needs)</t>
  </si>
  <si>
    <t xml:space="preserve">Product 55: </t>
  </si>
  <si>
    <t>1 kg crop: HABA TIERNA (VAINA) | category: transitory | summary: strategy_3 (del proyecto Ecuador_needs)</t>
  </si>
  <si>
    <t xml:space="preserve">Product 56: </t>
  </si>
  <si>
    <t>1 kg crop: LIMÓN (FRUTA FRESCA) | category: permanent | summary: strategy_3 (del proyecto Ecuador_needs)</t>
  </si>
  <si>
    <t xml:space="preserve">Product 57: </t>
  </si>
  <si>
    <t>1 kg crop: MAIZ DURO CHOCLO (CHOCLO) | category: transitory | summary: strategy_3 (del proyecto Ecuador_needs)</t>
  </si>
  <si>
    <t>crop: ABACÁ | category: permanent | summary: strategy_3</t>
  </si>
  <si>
    <t>crop: ACELGA | category: transitory | summary: strategy_3</t>
  </si>
  <si>
    <t>crop: ACHIOTE | category: permanent | summary: strategy_3</t>
  </si>
  <si>
    <t>crop: AGUACATE (FRUTA FRESCA) | category: permanent | summary: strategy_3</t>
  </si>
  <si>
    <t>crop: AJI | category: transitory | summary: strategy_3</t>
  </si>
  <si>
    <t>crop: AJONJOLI | category: transitory | summary: strategy_3</t>
  </si>
  <si>
    <t>crop: ALCACHOFA | category: permanent | summary: strategy_3</t>
  </si>
  <si>
    <t>crop: ALFALFA | category: transitory | summary: strategy_3</t>
  </si>
  <si>
    <t>crop: APIO | category: transitory | summary: strategy_3</t>
  </si>
  <si>
    <t>crop: ARÁNDANO | category: permanent | summary: strategy_3</t>
  </si>
  <si>
    <t>crop: ARROZ (EN CÁSCARA) | category: transitory | summary: strategy_3</t>
  </si>
  <si>
    <t>crop: ARROZ | category: transitory | summary: strategy_3</t>
  </si>
  <si>
    <t>crop: ARVEJA SECA (GRANO SECO) | category: transitory | summary: strategy_3</t>
  </si>
  <si>
    <t>crop: ARVEJA TIERNA (VAINA) | category: transitory | summary: strategy_3</t>
  </si>
  <si>
    <t>crop: AVENA | category: transitory | summary: strategy_3</t>
  </si>
  <si>
    <t>crop: AVENA FORRAJERA | category: transitory | summary: strategy_3</t>
  </si>
  <si>
    <t>crop: BABACO | category: permanent | summary: strategy_3</t>
  </si>
  <si>
    <t>crop: BAMBÚ O CAÑA GUADUA | category: permanent | summary: strategy_3</t>
  </si>
  <si>
    <t>crop: BANANO (FRUTA FRESCA) | category: permanent | summary: strategy_3</t>
  </si>
  <si>
    <t>crop: BRACHIARIA | category: cultivated_pasture | summary: strategy_3</t>
  </si>
  <si>
    <t>crop: BROCOLI | category: transitory | summary: strategy_3</t>
  </si>
  <si>
    <t>crop: CACAO (ALMENDRA SECA) | category: permanent | summary: strategy_3</t>
  </si>
  <si>
    <t>crop: CACAO CCN51 O RAMILLA (ALMENDRA FRESCA) | category: transitory | summary: strategy_3</t>
  </si>
  <si>
    <t>crop: CAFÉ (GRANO ORO) | category: permanent | summary: strategy_3</t>
  </si>
  <si>
    <t>crop: CAMOTE | category: transitory | summary: strategy_3</t>
  </si>
  <si>
    <t>crop: CAÑA DE AZÚCAR / AZÚCAR (TALLO FRESCO) | category: permanent | summary: strategy_3</t>
  </si>
  <si>
    <t>crop: CAÑA DE AZÚCAR / OTROS USOS (TALLO FRESCO) | category: permanent | summary: strategy_3</t>
  </si>
  <si>
    <t>crop: CAÑA DE AZÚCAR /BIOCOMBUSTIBLE | category: permanent | summary: strategy_3</t>
  </si>
  <si>
    <t>crop: CAUCHO | category: permanent | summary: strategy_3</t>
  </si>
  <si>
    <t>crop: CEBADA | category: transitory | summary: strategy_3</t>
  </si>
  <si>
    <t>crop: CEBADA FORRAJERA | category: transitory | summary: strategy_3</t>
  </si>
  <si>
    <t>crop: CEBOLLA BLANCA | category: transitory | summary: strategy_3</t>
  </si>
  <si>
    <t>crop: CEBOLLA COLORADA | category: transitory | summary: strategy_3</t>
  </si>
  <si>
    <t>crop: CEBOLLA PERLA | category: transitory | summary: strategy_3</t>
  </si>
  <si>
    <t>crop: CENTENO | category: transitory | summary: strategy_3</t>
  </si>
  <si>
    <t>crop: CILANTRO | category: transitory | summary: strategy_3</t>
  </si>
  <si>
    <t>crop: CIRUELO | category: permanent | summary: strategy_3</t>
  </si>
  <si>
    <t>crop: CLAUDIA | category: permanent | summary: strategy_3</t>
  </si>
  <si>
    <t>crop: COCO (COCOTERO) | category: permanent | summary: strategy_3</t>
  </si>
  <si>
    <t>crop: COL | category: transitory | summary: strategy_3</t>
  </si>
  <si>
    <t>crop: COLIFLOR | category: transitory | summary: strategy_3</t>
  </si>
  <si>
    <t>crop: CHIRIMOYA | category: permanent | summary: strategy_3</t>
  </si>
  <si>
    <t>crop: CHOCHO | category: transitory | summary: strategy_3</t>
  </si>
  <si>
    <t>crop: DURAZNO (MELOCOTON) | category: permanent | summary: strategy_3</t>
  </si>
  <si>
    <t>crop: ESPARRAGO | category: permanent | summary: strategy_3</t>
  </si>
  <si>
    <t>crop: ESPINACA | category: transitory | summary: strategy_3</t>
  </si>
  <si>
    <t>crop: FREJOL SECO (GRANO SECO) | category: transitory | summary: strategy_3</t>
  </si>
  <si>
    <t>crop: FREJOL SECO (VAINA SECA) | category: transitory | summary: strategy_3</t>
  </si>
  <si>
    <t>crop: FREJOL TIERNO (VAINA) | category: transitory | summary: strategy_3</t>
  </si>
  <si>
    <t>crop: FRUTILLAS O FRESAS | category: permanent | summary: strategy_3</t>
  </si>
  <si>
    <t>crop: GRAMALOTE | category: cultivated_pasture | summary: strategy_3</t>
  </si>
  <si>
    <t>crop: GRANADILLA | category: permanent | summary: strategy_3</t>
  </si>
  <si>
    <t>crop: GUABA | category: permanent | summary: strategy_3</t>
  </si>
  <si>
    <t>crop: HABA SECA (GRANO SECO) | category: transitory | summary: strategy_3</t>
  </si>
  <si>
    <t>crop: HABA TIERNA (VAINA) | category: transitory | summary: strategy_3</t>
  </si>
  <si>
    <t>crop: LIMÓN (FRUTA FRESCA) | category: permanent | summary: strategy_3</t>
  </si>
  <si>
    <t>crop: MAIZ DURO CHOCLO (CHOCLO) | category: transitory | summary: strategy_3</t>
  </si>
  <si>
    <t>CC. EQ. mar. LT. biogenic (beta)</t>
  </si>
  <si>
    <t>CC. EQ. mar. LT. CO2 uptake (beta)</t>
  </si>
  <si>
    <t>CC. EQ. mar. LT. fossil (beta)</t>
  </si>
  <si>
    <t>CC. EQ. mar. LT. land transformation (be</t>
  </si>
  <si>
    <t>CC. EQ. mar. ST. biogenic (beta)</t>
  </si>
  <si>
    <t>CC. EQ. mar. ST. CO2 uptake (beta)</t>
  </si>
  <si>
    <t>CC. EQ. mar. ST. fossil (beta)</t>
  </si>
  <si>
    <t>CC. EQ. mar. ST. land transformation (be</t>
  </si>
  <si>
    <t>CC. EQ. terr. LT. biogenic</t>
  </si>
  <si>
    <t>CC. EQ. terr. LT. CO2 uptake</t>
  </si>
  <si>
    <t>CC. EQ. terr. LT. fossil</t>
  </si>
  <si>
    <t>CC. EQ. terr. LT. land transformation</t>
  </si>
  <si>
    <t>CC. EQ. terr. ST. biogenic</t>
  </si>
  <si>
    <t>CC. EQ. terr. ST. CO2 uptake</t>
  </si>
  <si>
    <t>CC. EQ. terr. ST. fossil</t>
  </si>
  <si>
    <t>CC. EQ. terr. ST. land transformation</t>
  </si>
  <si>
    <t>CC. HH. LT. biogenic</t>
  </si>
  <si>
    <t>CC. HH. LT. CO2 uptake</t>
  </si>
  <si>
    <t>CC. HH. LT. fossil</t>
  </si>
  <si>
    <t>CC. HH. LT. land transformation</t>
  </si>
  <si>
    <t>CC. HH. ST. biogenic</t>
  </si>
  <si>
    <t>CC. HH. ST. CO2 uptake</t>
  </si>
  <si>
    <t>CC. HH. ST. fossil</t>
  </si>
  <si>
    <t>CC. HH. ST. land transformation</t>
  </si>
  <si>
    <t>Freshwater ecotoxicity. long term</t>
  </si>
  <si>
    <t>Freshwater ecotoxicity. short term</t>
  </si>
  <si>
    <t>Human toxicity cancer. long term</t>
  </si>
  <si>
    <t>Human toxicity cancer. short term</t>
  </si>
  <si>
    <t>Human toxicity non-cancer. long term</t>
  </si>
  <si>
    <t>Human toxicity non-cancer. short term</t>
  </si>
  <si>
    <t>Ionizing radiations. ecosystem quality</t>
  </si>
  <si>
    <t>Ionizing radiations. human health</t>
  </si>
  <si>
    <t>Land occupation. biodiversity</t>
  </si>
  <si>
    <t>Land transformation. biodiversity</t>
  </si>
  <si>
    <t>Marine acidification. long term</t>
  </si>
  <si>
    <t>Marine acidification. short term</t>
  </si>
  <si>
    <t>Marine ecotoxicity. long term</t>
  </si>
  <si>
    <t>Marine ecotoxicity. short term</t>
  </si>
  <si>
    <t>Photochemical ozone formation. ecosystem</t>
  </si>
  <si>
    <t>Photochemical ozone formation. human hea</t>
  </si>
  <si>
    <t>Terrestrial ecotoxicity. long term</t>
  </si>
  <si>
    <t>Terrestrial ecotoxicity. short term</t>
  </si>
  <si>
    <t>Water availability. freshwater ecosystem</t>
  </si>
  <si>
    <t>Water availability. human health</t>
  </si>
  <si>
    <t>Water availability. terrestrial ecosyste</t>
  </si>
  <si>
    <t>1 kg crop: FREJOL TIERNO (GRANO TIERNO) | category: transitory | summary: strategy_3 (del proyecto Ecuador_needs)</t>
  </si>
  <si>
    <t>1 kg crop: GUANABANA | category: permanent | summary: strategy_3 (del proyecto Ecuador_needs)</t>
  </si>
  <si>
    <t>1 kg crop: GUAYABA | category: permanent | summary: strategy_3 (del proyecto Ecuador_needs)</t>
  </si>
  <si>
    <t xml:space="preserve">Product 58: </t>
  </si>
  <si>
    <t>1 kg crop: HABA TIERNA (GRANO TIERNO) | category: transitory | summary: strategy_3 (del proyecto Ecuador_needs)</t>
  </si>
  <si>
    <t xml:space="preserve">Product 59: </t>
  </si>
  <si>
    <t xml:space="preserve">Product 60: </t>
  </si>
  <si>
    <t>1 kg crop: HUERTO FRUTAL | category: permanent | summary: strategy_3 (del proyecto Ecuador_needs)</t>
  </si>
  <si>
    <t xml:space="preserve">Product 61: </t>
  </si>
  <si>
    <t>1 kg crop: HUERTO FRUTAL | category: transitory | summary: strategy_3 (del proyecto Ecuador_needs)</t>
  </si>
  <si>
    <t xml:space="preserve">Product 62: </t>
  </si>
  <si>
    <t>1 kg crop: HUERTO HORTICOLA | category: transitory | summary: strategy_3 (del proyecto Ecuador_needs)</t>
  </si>
  <si>
    <t xml:space="preserve">Product 63: </t>
  </si>
  <si>
    <t>1 kg crop: LECHUGA | category: transitory | summary: strategy_3 (del proyecto Ecuador_needs)</t>
  </si>
  <si>
    <t xml:space="preserve">Product 64: </t>
  </si>
  <si>
    <t>1 kg crop: LENTEJA | category: transitory | summary: strategy_3 (del proyecto Ecuador_needs)</t>
  </si>
  <si>
    <t xml:space="preserve">Product 65: </t>
  </si>
  <si>
    <t>1 kg crop: LIMA | category: permanent | summary: strategy_3 (del proyecto Ecuador_needs)</t>
  </si>
  <si>
    <t xml:space="preserve">Product 66: </t>
  </si>
  <si>
    <t xml:space="preserve">Product 67: </t>
  </si>
  <si>
    <t xml:space="preserve">Product 68: </t>
  </si>
  <si>
    <t>1 kg crop: MAIZ DURO SECO (GRANO SECO) | category: transitory | summary: strategy_3 (del proyecto Ecuador_needs)</t>
  </si>
  <si>
    <t xml:space="preserve">Product 69: </t>
  </si>
  <si>
    <t>1 kg crop: MAIZ DURO SECO (MAZORCA) | category: transitory | summary: strategy_3 (del proyecto Ecuador_needs)</t>
  </si>
  <si>
    <t xml:space="preserve">Product 70: </t>
  </si>
  <si>
    <t>1 kg crop: MAIZ SUAVE CHOCLO (CHOCLO) | category: transitory | summary: strategy_3 (del proyecto Ecuador_needs)</t>
  </si>
  <si>
    <t xml:space="preserve">Product 71: </t>
  </si>
  <si>
    <t>1 kg crop: MAIZ SUAVE SECO (GRANO SECO) | category: transitory | summary: strategy_3 (del proyecto Ecuador_needs)</t>
  </si>
  <si>
    <t xml:space="preserve">Product 72: </t>
  </si>
  <si>
    <t>1 kg crop: MAIZ SUAVE SECO (MAZORCA) | category: transitory | summary: strategy_3 (del proyecto Ecuador_needs)</t>
  </si>
  <si>
    <t xml:space="preserve">Product 73: </t>
  </si>
  <si>
    <t>1 kg crop: MANDARINA | category: permanent | summary: strategy_3 (del proyecto Ecuador_needs)</t>
  </si>
  <si>
    <t xml:space="preserve">Product 74: </t>
  </si>
  <si>
    <t>1 kg crop: MANDARINA | category: transitory | summary: strategy_3 (del proyecto Ecuador_needs)</t>
  </si>
  <si>
    <t xml:space="preserve">Product 75: </t>
  </si>
  <si>
    <t>1 kg crop: MANGO (FRUTA FRESCA) | category: permanent | summary: strategy_3 (del proyecto Ecuador_needs)</t>
  </si>
  <si>
    <t>crop: FREJOL TIERNO (GRANO TIERNO) | category: transitory | summary: strategy_3</t>
  </si>
  <si>
    <t>crop: GUANABANA | category: permanent | summary: strategy_3</t>
  </si>
  <si>
    <t>crop: GUAYABA | category: permanent | summary: strategy_3</t>
  </si>
  <si>
    <t>crop: HABA TIERNA (GRANO TIERNO) | category: transitory | summary: strategy_3</t>
  </si>
  <si>
    <t>crop: HUERTO FRUTAL | category: permanent | summary: strategy_3</t>
  </si>
  <si>
    <t>crop: HUERTO FRUTAL | category: transitory | summary: strategy_3</t>
  </si>
  <si>
    <t>crop: HUERTO HORTICOLA | category: transitory | summary: strategy_3</t>
  </si>
  <si>
    <t>crop: LECHUGA | category: transitory | summary: strategy_3</t>
  </si>
  <si>
    <t>crop: LENTEJA | category: transitory | summary: strategy_3</t>
  </si>
  <si>
    <t>crop: LIMA | category: permanent | summary: strategy_3</t>
  </si>
  <si>
    <t>crop: MAIZ DURO SECO (GRANO SECO) | category: transitory | summary: strategy_3</t>
  </si>
  <si>
    <t>crop: MAIZ DURO SECO (MAZORCA) | category: transitory | summary: strategy_3</t>
  </si>
  <si>
    <t>crop: MAIZ SUAVE CHOCLO (CHOCLO) | category: transitory | summary: strategy_3</t>
  </si>
  <si>
    <t>crop: MAIZ SUAVE SECO (GRANO SECO) | category: transitory | summary: strategy_3</t>
  </si>
  <si>
    <t>crop: MAIZ SUAVE SECO (MAZORCA) | category: transitory | summary: strategy_3</t>
  </si>
  <si>
    <t>crop: MANDARINA | category: permanent | summary: strategy_3</t>
  </si>
  <si>
    <t>crop: MANDARINA | category: transitory | summary: strategy_3</t>
  </si>
  <si>
    <t>crop: MANGO (FRUTA FRESCA) | category: permanent | summary: strategy_3</t>
  </si>
  <si>
    <t>-0,24896745</t>
  </si>
  <si>
    <t>0,79190578</t>
  </si>
  <si>
    <t>2,3876725</t>
  </si>
  <si>
    <t>0,15107911</t>
  </si>
  <si>
    <t>0,5504073</t>
  </si>
  <si>
    <t>0,10211459</t>
  </si>
  <si>
    <t>1,7368229</t>
  </si>
  <si>
    <t>0,86320837</t>
  </si>
  <si>
    <t>0,035299634</t>
  </si>
  <si>
    <t>0,18591769</t>
  </si>
  <si>
    <t>0,39163345</t>
  </si>
  <si>
    <t>0,18940804</t>
  </si>
  <si>
    <t>0,57817774</t>
  </si>
  <si>
    <t>-0,0074745244</t>
  </si>
  <si>
    <t>0,21611207</t>
  </si>
  <si>
    <t>5,3102423</t>
  </si>
  <si>
    <t>0,54774474</t>
  </si>
  <si>
    <t>-0,24877077</t>
  </si>
  <si>
    <t>-0,0021082425</t>
  </si>
  <si>
    <t>0,4048132</t>
  </si>
  <si>
    <t>0,078205386</t>
  </si>
  <si>
    <t>0,11274495</t>
  </si>
  <si>
    <t>0,0048229873</t>
  </si>
  <si>
    <t>0,058639549</t>
  </si>
  <si>
    <t>0,51164379</t>
  </si>
  <si>
    <t>0,01033274</t>
  </si>
  <si>
    <t>0,048317946</t>
  </si>
  <si>
    <t>0,044445891</t>
  </si>
  <si>
    <t>0,036973312</t>
  </si>
  <si>
    <t>0,33618769</t>
  </si>
  <si>
    <t>-0,033021223</t>
  </si>
  <si>
    <t>0,071990895</t>
  </si>
  <si>
    <t>-0,0028080186</t>
  </si>
  <si>
    <t>0,36591204</t>
  </si>
  <si>
    <t>-0,00019667923</t>
  </si>
  <si>
    <t>0,79401403</t>
  </si>
  <si>
    <t>1,9828593</t>
  </si>
  <si>
    <t>0,072873721</t>
  </si>
  <si>
    <t>0,43766234</t>
  </si>
  <si>
    <t>0,0972916</t>
  </si>
  <si>
    <t>1,6781833</t>
  </si>
  <si>
    <t>0,35156459</t>
  </si>
  <si>
    <t>0,024966893</t>
  </si>
  <si>
    <t>0,13759975</t>
  </si>
  <si>
    <t>0,34718756</t>
  </si>
  <si>
    <t>0,15243473</t>
  </si>
  <si>
    <t>0,24199004</t>
  </si>
  <si>
    <t>0,025546699</t>
  </si>
  <si>
    <t>0,14412117</t>
  </si>
  <si>
    <t>5,3130503</t>
  </si>
  <si>
    <t>0,18183269</t>
  </si>
  <si>
    <t>1 kg crop: MANI | category: transitory | summary: strategy_3 (del proyecto Ecuador_needs)</t>
  </si>
  <si>
    <t>1 kg crop: MANZANA | category: permanent | summary: strategy_3 (del proyecto Ecuador_needs)</t>
  </si>
  <si>
    <t>1 kg crop: MARACUYÁ (FRUTA FRESCA) | category: permanent | summary: strategy_3 (del proyecto Ecuador_needs)</t>
  </si>
  <si>
    <t>1 kg crop: MARACUYA | category: transitory | summary: strategy_3 (del proyecto Ecuador_needs)</t>
  </si>
  <si>
    <t>1 kg crop: MASHUA | category: transitory | summary: strategy_3 (del proyecto Ecuador_needs)</t>
  </si>
  <si>
    <t>1 kg crop: MELON | category: transitory | summary: strategy_3 (del proyecto Ecuador_needs)</t>
  </si>
  <si>
    <t>1 kg crop: MELLOCO | category: transitory | summary: strategy_3 (del proyecto Ecuador_needs)</t>
  </si>
  <si>
    <t>1 kg crop: MORA | category: permanent | summary: strategy_3 (del proyecto Ecuador_needs)</t>
  </si>
  <si>
    <t>1 kg crop: NABO | category: transitory | summary: strategy_3 (del proyecto Ecuador_needs)</t>
  </si>
  <si>
    <t>1 kg crop: NARANJA (FRUTA FRESCA) | category: permanent | summary: strategy_3 (del proyecto Ecuador_needs)</t>
  </si>
  <si>
    <t>1 kg crop: NARANJILLA | category: permanent | summary: strategy_3 (del proyecto Ecuador_needs)</t>
  </si>
  <si>
    <t>1 kg crop: OCA | category: transitory | summary: strategy_3 (del proyecto Ecuador_needs)</t>
  </si>
  <si>
    <t>1 kg crop: ORITO (FRUTA FRESCA) | category: permanent | summary: strategy_3 (del proyecto Ecuador_needs)</t>
  </si>
  <si>
    <t>1 kg crop: OTROS PASTOS CULTIVADOS | category: cultivated_pasture | summary: strategy_3 (del proyecto Ecuador_needs)</t>
  </si>
  <si>
    <t>1 kg crop: OTROS PERMANENTES | category: permanent | summary: strategy_3 (del proyecto Ecuador_needs)</t>
  </si>
  <si>
    <t>1 kg crop: OTROS TRANSITORIOS | category: transitory | summary: strategy_3 (del proyecto Ecuador_needs)</t>
  </si>
  <si>
    <t>1 kg crop: PAJA TOQUILLA | category: permanent | summary: strategy_3 (del proyecto Ecuador_needs)</t>
  </si>
  <si>
    <t>1 kg crop: PALMA AFRICANA (FRUTA FRESCA) | category: permanent | summary: strategy_3 (del proyecto Ecuador_needs)</t>
  </si>
  <si>
    <t>1 kg crop: PALMITO (TALLO FRESCO) | category: permanent | summary: strategy_3 (del proyecto Ecuador_needs)</t>
  </si>
  <si>
    <t>1 kg crop: PAPA | category: transitory | summary: strategy_3 (del proyecto Ecuador_needs)</t>
  </si>
  <si>
    <t>1 kg crop: PAPA CHINA, PELMA | category: transitory | summary: strategy_3 (del proyecto Ecuador_needs)</t>
  </si>
  <si>
    <t>1 kg crop: PAPAYA | category: permanent | summary: strategy_3 (del proyecto Ecuador_needs)</t>
  </si>
  <si>
    <t>1 kg crop: PAPAYA | category: transitory | summary: strategy_3 (del proyecto Ecuador_needs)</t>
  </si>
  <si>
    <t>1 kg crop: PASTO AZUL | category: transitory | summary: strategy_3 (del proyecto Ecuador_needs)</t>
  </si>
  <si>
    <t>1 kg crop: PASTO MIEL (CHILENA) | category: cultivated_pasture | summary: strategy_3 (del proyecto Ecuador_needs)</t>
  </si>
  <si>
    <t>1 kg crop: PASTO MIXTO | category: cultivated_pasture | summary: strategy_3 (del proyecto Ecuador_needs)</t>
  </si>
  <si>
    <t>1 kg crop: PEPINILLO | category: transitory | summary: strategy_3 (del proyecto Ecuador_needs)</t>
  </si>
  <si>
    <t>1 kg crop: PEPINO DULCE | category: permanent | summary: strategy_3 (del proyecto Ecuador_needs)</t>
  </si>
  <si>
    <t>1 kg crop: PERA | category: permanent | summary: strategy_3 (del proyecto Ecuador_needs)</t>
  </si>
  <si>
    <t>1 kg crop: PEREJIL | category: transitory | summary: strategy_3 (del proyecto Ecuador_needs)</t>
  </si>
  <si>
    <t>1 kg crop: PIMIENTA NEGRA (GRANO FRESCO) | category: permanent | summary: strategy_3 (del proyecto Ecuador_needs)</t>
  </si>
  <si>
    <t>1 kg crop: PIMIENTA NEGRA (GRANO SECO) | category: permanent | summary: strategy_3 (del proyecto Ecuador_needs)</t>
  </si>
  <si>
    <t>1 kg crop: PIMIENTO | category: transitory | summary: strategy_3 (del proyecto Ecuador_needs)</t>
  </si>
  <si>
    <t>1 kg crop: PIÑA (FRUTA FRESCA) | category: permanent | summary: strategy_3 (del proyecto Ecuador_needs)</t>
  </si>
  <si>
    <t>1 kg crop: PITAHAYA AMARILLA | category: permanent | summary: strategy_3 (del proyecto Ecuador_needs)</t>
  </si>
  <si>
    <t>1 kg crop: PITAHAYA ROJA | category: permanent | summary: strategy_3 (del proyecto Ecuador_needs)</t>
  </si>
  <si>
    <t>1 kg crop: PLANTAS MEDICINALES | category: permanent | summary: strategy_3 (del proyecto Ecuador_needs)</t>
  </si>
  <si>
    <t>1 kg crop: PLANTAS MEDICINALES | category: transitory | summary: strategy_3 (del proyecto Ecuador_needs)</t>
  </si>
  <si>
    <t>1 kg crop: PLÁTANO (FRUTA FRESCA) | category: permanent | summary: strategy_3 (del proyecto Ecuador_needs)</t>
  </si>
  <si>
    <t>1 kg crop: QUINUA | category: transitory | summary: strategy_3 (del proyecto Ecuador_needs)</t>
  </si>
  <si>
    <t>1 kg crop: RABANO | category: transitory | summary: strategy_3 (del proyecto Ecuador_needs)</t>
  </si>
  <si>
    <t>1 kg crop: RAIGRAS | category: transitory | summary: strategy_3 (del proyecto Ecuador_needs)</t>
  </si>
  <si>
    <t>1 kg crop: REMOLACHA | category: transitory | summary: strategy_3 (del proyecto Ecuador_needs)</t>
  </si>
  <si>
    <t>1 kg crop: SABILA | category: permanent | summary: strategy_3 (del proyecto Ecuador_needs)</t>
  </si>
  <si>
    <t>1 kg crop: SABOYA | category: cultivated_pasture | summary: strategy_3 (del proyecto Ecuador_needs)</t>
  </si>
  <si>
    <t>1 kg crop: SACHA INCHI | category: permanent | summary: strategy_3 (del proyecto Ecuador_needs)</t>
  </si>
  <si>
    <t>1 kg crop: SANDIA | category: transitory | summary: strategy_3 (del proyecto Ecuador_needs)</t>
  </si>
  <si>
    <t>1 kg crop: SOYA | category: transitory | summary: strategy_3 (del proyecto Ecuador_needs)</t>
  </si>
  <si>
    <t>1 kg crop: SUQUINI (ZUCHINI) | category: transitory | summary: strategy_3 (del proyecto Ecuador_needs)</t>
  </si>
  <si>
    <t>1 kg crop: TABACO | category: transitory | summary: strategy_3 (del proyecto Ecuador_needs)</t>
  </si>
  <si>
    <t>1 kg crop: TAXO | category: permanent | summary: strategy_3 (del proyecto Ecuador_needs)</t>
  </si>
  <si>
    <t>1 kg crop: TÉ | category: permanent | summary: strategy_3 (del proyecto Ecuador_needs)</t>
  </si>
  <si>
    <t>1 kg crop: TOMATE DE ÁRBOL (FRUTA FRESCA) | category: permanent | summary: strategy_3 (del proyecto Ecuador_needs)</t>
  </si>
  <si>
    <t>1 kg crop: TOMATE RIÑON | category: transitory | summary: strategy_3 (del proyecto Ecuador_needs)</t>
  </si>
  <si>
    <t>1 kg crop: TOMATILLO | category: transitory | summary: strategy_3 (del proyecto Ecuador_needs)</t>
  </si>
  <si>
    <t>1 kg crop: TRIGO | category: transitory | summary: strategy_3 (del proyecto Ecuador_needs)</t>
  </si>
  <si>
    <t>1 kg crop: TUNA | category: permanent | summary: strategy_3 (del proyecto Ecuador_needs)</t>
  </si>
  <si>
    <t>1 kg crop: UVA (VID) | category: permanent | summary: strategy_3 (del proyecto Ecuador_needs)</t>
  </si>
  <si>
    <t>1 kg crop: UVILLA | category: permanent | summary: strategy_3 (del proyecto Ecuador_needs)</t>
  </si>
  <si>
    <t>1 kg crop: VAINITA | category: transitory | summary: strategy_3 (del proyecto Ecuador_needs)</t>
  </si>
  <si>
    <t>1 kg crop: VICIA FORRAJERA | category: transitory | summary: strategy_3 (del proyecto Ecuador_needs)</t>
  </si>
  <si>
    <t>1 kg crop: VIVEROS DE PERMANENTES | category: permanent | summary: strategy_3 (del proyecto Ecuador_needs)</t>
  </si>
  <si>
    <t>1 kg crop: VIVEROS TRANSITORIOS | category: transitory | summary: strategy_3 (del proyecto Ecuador_needs)</t>
  </si>
  <si>
    <t>1 kg crop: YUCA | category: transitory | summary: strategy_3 (del proyecto Ecuador_needs)</t>
  </si>
  <si>
    <t>1 kg crop: ZANAHORIA AMARILLA | category: transitory | summary: strategy_3 (del proyecto Ecuador_needs)</t>
  </si>
  <si>
    <t>1 kg crop: ZANAHORIA BLANCA | category: transitory | summary: strategy_3 (del proyecto Ecuador_needs)</t>
  </si>
  <si>
    <t>1 kg crop: ZAPALLO (CALABAZA) | category: transitory | summary: strategy_3 (del proyecto Ecuador_needs)</t>
  </si>
  <si>
    <t>crop: MANI | category: transitory | summary: strategy_3</t>
  </si>
  <si>
    <t>crop: MANZANA | category: permanent | summary: strategy_3</t>
  </si>
  <si>
    <t>crop: MARACUYÁ (FRUTA FRESCA) | category: permanent | summary: strategy_3</t>
  </si>
  <si>
    <t>crop: MARACUYA | category: transitory | summary: strategy_3</t>
  </si>
  <si>
    <t>crop: MASHUA | category: transitory | summary: strategy_3</t>
  </si>
  <si>
    <t>crop: MELON | category: transitory | summary: strategy_3</t>
  </si>
  <si>
    <t>crop: MELLOCO | category: transitory | summary: strategy_3</t>
  </si>
  <si>
    <t>crop: MORA | category: permanent | summary: strategy_3</t>
  </si>
  <si>
    <t>crop: NABO | category: transitory | summary: strategy_3</t>
  </si>
  <si>
    <t>crop: NARANJA (FRUTA FRESCA) | category: permanent | summary: strategy_3</t>
  </si>
  <si>
    <t>crop: NARANJILLA | category: permanent | summary: strategy_3</t>
  </si>
  <si>
    <t>crop: OCA | category: transitory | summary: strategy_3</t>
  </si>
  <si>
    <t>crop: ORITO (FRUTA FRESCA) | category: permanent | summary: strategy_3</t>
  </si>
  <si>
    <t>crop: OTROS PASTOS CULTIVADOS | category: cultivated_pasture | summary: strategy_3</t>
  </si>
  <si>
    <t>crop: OTROS PERMANENTES | category: permanent | summary: strategy_3</t>
  </si>
  <si>
    <t>crop: OTROS TRANSITORIOS | category: transitory | summary: strategy_3</t>
  </si>
  <si>
    <t>crop: PAJA TOQUILLA | category: permanent | summary: strategy_3</t>
  </si>
  <si>
    <t>crop: PALMA AFRICANA (FRUTA FRESCA) | category: permanent | summary: strategy_3</t>
  </si>
  <si>
    <t>crop: PALMITO (TALLO FRESCO) | category: permanent | summary: strategy_3</t>
  </si>
  <si>
    <t>crop: PAPA | category: transitory | summary: strategy_3</t>
  </si>
  <si>
    <t>crop: PAPA CHINA, PELMA | category: transitory | summary: strategy_3</t>
  </si>
  <si>
    <t>crop: PAPAYA | category: permanent | summary: strategy_3</t>
  </si>
  <si>
    <t>crop: PAPAYA | category: transitory | summary: strategy_3</t>
  </si>
  <si>
    <t>crop: PASTO AZUL | category: transitory | summary: strategy_3</t>
  </si>
  <si>
    <t>crop: PASTO MIEL (CHILENA) | category: cultivated_pasture | summary: strategy_3</t>
  </si>
  <si>
    <t>crop: PASTO MIXTO | category: cultivated_pasture | summary: strategy_3</t>
  </si>
  <si>
    <t>crop: PEPINILLO | category: transitory | summary: strategy_3</t>
  </si>
  <si>
    <t>crop: PEPINO DULCE | category: permanent | summary: strategy_3</t>
  </si>
  <si>
    <t>crop: PERA | category: permanent | summary: strategy_3</t>
  </si>
  <si>
    <t>crop: PEREJIL | category: transitory | summary: strategy_3</t>
  </si>
  <si>
    <t>crop: PIMIENTA NEGRA (GRANO FRESCO) | category: permanent | summary: strategy_3</t>
  </si>
  <si>
    <t>crop: PIMIENTA NEGRA (GRANO SECO) | category: permanent | summary: strategy_3</t>
  </si>
  <si>
    <t>crop: PIMIENTO | category: transitory | summary: strategy_3</t>
  </si>
  <si>
    <t>crop: PIÑA (FRUTA FRESCA) | category: permanent | summary: strategy_3</t>
  </si>
  <si>
    <t>crop: PITAHAYA AMARILLA | category: permanent | summary: strategy_3</t>
  </si>
  <si>
    <t>crop: PITAHAYA ROJA | category: permanent | summary: strategy_3</t>
  </si>
  <si>
    <t>crop: PLANTAS MEDICINALES | category: permanent | summary: strategy_3</t>
  </si>
  <si>
    <t>crop: PLANTAS MEDICINALES | category: transitory | summary: strategy_3</t>
  </si>
  <si>
    <t>crop: PLÁTANO (FRUTA FRESCA) | category: permanent | summary: strategy_3</t>
  </si>
  <si>
    <t>crop: QUINUA | category: transitory | summary: strategy_3</t>
  </si>
  <si>
    <t>crop: RABANO | category: transitory | summary: strategy_3</t>
  </si>
  <si>
    <t>crop: RAIGRAS | category: transitory | summary: strategy_3</t>
  </si>
  <si>
    <t>crop: REMOLACHA | category: transitory | summary: strategy_3</t>
  </si>
  <si>
    <t>crop: SABILA | category: permanent | summary: strategy_3</t>
  </si>
  <si>
    <t>crop: SABOYA | category: cultivated_pasture | summary: strategy_3</t>
  </si>
  <si>
    <t>crop: SACHA INCHI | category: permanent | summary: strategy_3</t>
  </si>
  <si>
    <t>crop: SANDIA | category: transitory | summary: strategy_3</t>
  </si>
  <si>
    <t>crop: SOYA | category: transitory | summary: strategy_3</t>
  </si>
  <si>
    <t>crop: SUQUINI (ZUCHINI) | category: transitory | summary: strategy_3</t>
  </si>
  <si>
    <t>crop: TABACO | category: transitory | summary: strategy_3</t>
  </si>
  <si>
    <t>crop: TAXO | category: permanent | summary: strategy_3</t>
  </si>
  <si>
    <t>crop: TÉ | category: permanent | summary: strategy_3</t>
  </si>
  <si>
    <t>crop: TOMATE DE ÁRBOL (FRUTA FRESCA) | category: permanent | summary: strategy_3</t>
  </si>
  <si>
    <t>crop: TOMATE RIÑON | category: transitory | summary: strategy_3</t>
  </si>
  <si>
    <t>crop: TOMATILLO | category: transitory | summary: strategy_3</t>
  </si>
  <si>
    <t>crop: TRIGO | category: transitory | summary: strategy_3</t>
  </si>
  <si>
    <t>crop: TUNA | category: permanent | summary: strategy_3</t>
  </si>
  <si>
    <t>crop: UVA (VID) | category: permanent | summary: strategy_3</t>
  </si>
  <si>
    <t>crop: UVILLA | category: permanent | summary: strategy_3</t>
  </si>
  <si>
    <t>crop: VAINITA | category: transitory | summary: strategy_3</t>
  </si>
  <si>
    <t>crop: VICIA FORRAJERA | category: transitory | summary: strategy_3</t>
  </si>
  <si>
    <t>crop: VIVEROS DE PERMANENTES | category: permanent | summary: strategy_3</t>
  </si>
  <si>
    <t>crop: VIVEROS TRANSITORIOS | category: transitory | summary: strategy_3</t>
  </si>
  <si>
    <t>crop: YUCA | category: transitory | summary: strategy_3</t>
  </si>
  <si>
    <t>crop: ZANAHORIA AMARILLA | category: transitory | summary: strategy_3</t>
  </si>
  <si>
    <t>crop: ZANAHORIA BLANCA | category: transitory | summary: strategy_3</t>
  </si>
  <si>
    <t>crop: ZAPALLO (CALABAZA) | category: transitory | summary: strategy_3</t>
  </si>
  <si>
    <t>0,58349273</t>
  </si>
  <si>
    <t>0,11515445</t>
  </si>
  <si>
    <t>0,18877021</t>
  </si>
  <si>
    <t>0,78868864</t>
  </si>
  <si>
    <t>0,27496729</t>
  </si>
  <si>
    <t>0,59367968</t>
  </si>
  <si>
    <t>0,10331103</t>
  </si>
  <si>
    <t>8,2616238</t>
  </si>
  <si>
    <t>0,51690267</t>
  </si>
  <si>
    <t>-0,41494575</t>
  </si>
  <si>
    <t>0,38197119</t>
  </si>
  <si>
    <t>0,13227761</t>
  </si>
  <si>
    <t>0,14755391</t>
  </si>
  <si>
    <t>0,079840432</t>
  </si>
  <si>
    <t>0,25663613</t>
  </si>
  <si>
    <t>0,045408775</t>
  </si>
  <si>
    <t>-0,036894244</t>
  </si>
  <si>
    <t>0,065426018</t>
  </si>
  <si>
    <t>0,095586055</t>
  </si>
  <si>
    <t>0,41266828</t>
  </si>
  <si>
    <t>-0,00073202866</t>
  </si>
  <si>
    <t>0,1377962</t>
  </si>
  <si>
    <t>0,027515715</t>
  </si>
  <si>
    <t>2,6474796</t>
  </si>
  <si>
    <t>0,060008824</t>
  </si>
  <si>
    <t>-0,41461795</t>
  </si>
  <si>
    <t>-0,0010168986</t>
  </si>
  <si>
    <t>0,056647215</t>
  </si>
  <si>
    <t>0,044646052</t>
  </si>
  <si>
    <t>0,035512439</t>
  </si>
  <si>
    <t>-0,00068322675</t>
  </si>
  <si>
    <t>-0,044601632</t>
  </si>
  <si>
    <t>0,62038698</t>
  </si>
  <si>
    <t>0,049728428</t>
  </si>
  <si>
    <t>0,093184152</t>
  </si>
  <si>
    <t>0,37602036</t>
  </si>
  <si>
    <t>0,27569931</t>
  </si>
  <si>
    <t>0,45588348</t>
  </si>
  <si>
    <t>0,075795316</t>
  </si>
  <si>
    <t>5,6141442</t>
  </si>
  <si>
    <t>0,45689385</t>
  </si>
  <si>
    <t>-0,00032779872</t>
  </si>
  <si>
    <t>0,38298809</t>
  </si>
  <si>
    <t>0,075630394</t>
  </si>
  <si>
    <t>0,10290786</t>
  </si>
  <si>
    <t>0,044327994</t>
  </si>
  <si>
    <t>0,25731936</t>
  </si>
  <si>
    <t>0,090010407</t>
  </si>
  <si>
    <t>0,30535711</t>
  </si>
  <si>
    <t>1,0702526</t>
  </si>
  <si>
    <t>0,38056231</t>
  </si>
  <si>
    <t>0,31784239</t>
  </si>
  <si>
    <t>0,5539558</t>
  </si>
  <si>
    <t>0,46444256</t>
  </si>
  <si>
    <t>0,79133731</t>
  </si>
  <si>
    <t>6,0817408</t>
  </si>
  <si>
    <t>2,1184361</t>
  </si>
  <si>
    <t>0,97485486</t>
  </si>
  <si>
    <t>1,434705</t>
  </si>
  <si>
    <t>0,1500067</t>
  </si>
  <si>
    <t>0,078965332</t>
  </si>
  <si>
    <t>0,10137209</t>
  </si>
  <si>
    <t>0,28383613</t>
  </si>
  <si>
    <t>7,212029</t>
  </si>
  <si>
    <t>18,70433</t>
  </si>
  <si>
    <t>0,097033535</t>
  </si>
  <si>
    <t>0,52590079</t>
  </si>
  <si>
    <t>2,3173177</t>
  </si>
  <si>
    <t>1,7732449</t>
  </si>
  <si>
    <t>1,8983955</t>
  </si>
  <si>
    <t>0,33427619</t>
  </si>
  <si>
    <t>0,19241676</t>
  </si>
  <si>
    <t>0,80599154</t>
  </si>
  <si>
    <t>0,87439326</t>
  </si>
  <si>
    <t>0,98520543</t>
  </si>
  <si>
    <t>0,67447215</t>
  </si>
  <si>
    <t>0,57542023</t>
  </si>
  <si>
    <t>0,73301816</t>
  </si>
  <si>
    <t>0,58471658</t>
  </si>
  <si>
    <t>1,2528753</t>
  </si>
  <si>
    <t>5,7402897</t>
  </si>
  <si>
    <t>0,72872349</t>
  </si>
  <si>
    <t>1,1868082</t>
  </si>
  <si>
    <t>2,0806655</t>
  </si>
  <si>
    <t>0,23655592</t>
  </si>
  <si>
    <t>0,14918843</t>
  </si>
  <si>
    <t>0,66388111</t>
  </si>
  <si>
    <t>3,4090127</t>
  </si>
  <si>
    <t>0,61468039</t>
  </si>
  <si>
    <t>0,10812093</t>
  </si>
  <si>
    <t>8,7971892</t>
  </si>
  <si>
    <t>1,5411816</t>
  </si>
  <si>
    <t>0,28462662</t>
  </si>
  <si>
    <t>0,68944249</t>
  </si>
  <si>
    <t>2,1204489</t>
  </si>
  <si>
    <t>0,67436821</t>
  </si>
  <si>
    <t>-1,0138718</t>
  </si>
  <si>
    <t>1,1436466</t>
  </si>
  <si>
    <t>2,1713646</t>
  </si>
  <si>
    <t>0,88288984</t>
  </si>
  <si>
    <t>0,84468834</t>
  </si>
  <si>
    <t>1,1627792</t>
  </si>
  <si>
    <t>3,3522992</t>
  </si>
  <si>
    <t>4,1602189</t>
  </si>
  <si>
    <t>0,42364289</t>
  </si>
  <si>
    <t>0,4772052</t>
  </si>
  <si>
    <t>0,042984693</t>
  </si>
  <si>
    <t>0,71347501</t>
  </si>
  <si>
    <t>0,2259054</t>
  </si>
  <si>
    <t>0,17888352</t>
  </si>
  <si>
    <t>0,28683524</t>
  </si>
  <si>
    <t>0,28417823</t>
  </si>
  <si>
    <t>0,44142552</t>
  </si>
  <si>
    <t>3,4724698</t>
  </si>
  <si>
    <t>1,0634421</t>
  </si>
  <si>
    <t>0,13910468</t>
  </si>
  <si>
    <t>0,85035127</t>
  </si>
  <si>
    <t>0,086488587</t>
  </si>
  <si>
    <t>0,068184478</t>
  </si>
  <si>
    <t>0,059994199</t>
  </si>
  <si>
    <t>0,15601651</t>
  </si>
  <si>
    <t>4,8484382</t>
  </si>
  <si>
    <t>12,523881</t>
  </si>
  <si>
    <t>0,076318703</t>
  </si>
  <si>
    <t>0,40582705</t>
  </si>
  <si>
    <t>1,3399495</t>
  </si>
  <si>
    <t>0,99613204</t>
  </si>
  <si>
    <t>0,95346568</t>
  </si>
  <si>
    <t>0,15346593</t>
  </si>
  <si>
    <t>0,099551743</t>
  </si>
  <si>
    <t>0,41813239</t>
  </si>
  <si>
    <t>0,45252473</t>
  </si>
  <si>
    <t>0,68260321</t>
  </si>
  <si>
    <t>0,34642131</t>
  </si>
  <si>
    <t>0,30146087</t>
  </si>
  <si>
    <t>0,14479707</t>
  </si>
  <si>
    <t>0,34742172</t>
  </si>
  <si>
    <t>0,73159657</t>
  </si>
  <si>
    <t>2,8653068</t>
  </si>
  <si>
    <t>0,36348063</t>
  </si>
  <si>
    <t>0,58699465</t>
  </si>
  <si>
    <t>1,002473</t>
  </si>
  <si>
    <t>0,14699462</t>
  </si>
  <si>
    <t>0,089770105</t>
  </si>
  <si>
    <t>0,41505589</t>
  </si>
  <si>
    <t>2,556683</t>
  </si>
  <si>
    <t>0,40895117</t>
  </si>
  <si>
    <t>0,029240334</t>
  </si>
  <si>
    <t>5,0271105</t>
  </si>
  <si>
    <t>0,8420344</t>
  </si>
  <si>
    <t>0,099781248</t>
  </si>
  <si>
    <t>-0,00038408114</t>
  </si>
  <si>
    <t>0,32469683</t>
  </si>
  <si>
    <t>0,34525461</t>
  </si>
  <si>
    <t>-0,83507186</t>
  </si>
  <si>
    <t>0,7739639</t>
  </si>
  <si>
    <t>1,2630928</t>
  </si>
  <si>
    <t>0,52105673</t>
  </si>
  <si>
    <t>0,0052092144</t>
  </si>
  <si>
    <t>0,68595258</t>
  </si>
  <si>
    <t>1,9903754</t>
  </si>
  <si>
    <t>2,5331903</t>
  </si>
  <si>
    <t>0,28359711</t>
  </si>
  <si>
    <t>0,30153168</t>
  </si>
  <si>
    <t>0,26237242</t>
  </si>
  <si>
    <t>0,35677756</t>
  </si>
  <si>
    <t>0,15465692</t>
  </si>
  <si>
    <t>0,13895887</t>
  </si>
  <si>
    <t>0,26712056</t>
  </si>
  <si>
    <t>0,18026433</t>
  </si>
  <si>
    <t>0,34991179</t>
  </si>
  <si>
    <t>2,609271</t>
  </si>
  <si>
    <t>1,054994</t>
  </si>
  <si>
    <t>0,83575018</t>
  </si>
  <si>
    <t>0,58435378</t>
  </si>
  <si>
    <t>0,063518117</t>
  </si>
  <si>
    <t>0,010780854</t>
  </si>
  <si>
    <t>0,041377894</t>
  </si>
  <si>
    <t>0,12781962</t>
  </si>
  <si>
    <t>2,3635908</t>
  </si>
  <si>
    <t>6,1804497</t>
  </si>
  <si>
    <t>0,020714832</t>
  </si>
  <si>
    <t>0,12007374</t>
  </si>
  <si>
    <t>0,9773682</t>
  </si>
  <si>
    <t>0,77711286</t>
  </si>
  <si>
    <t>0,94492985</t>
  </si>
  <si>
    <t>0,18081026</t>
  </si>
  <si>
    <t>0,092865019</t>
  </si>
  <si>
    <t>0,38785915</t>
  </si>
  <si>
    <t>0,42186852</t>
  </si>
  <si>
    <t>0,30260222</t>
  </si>
  <si>
    <t>0,32805084</t>
  </si>
  <si>
    <t>0,27395936</t>
  </si>
  <si>
    <t>0,5882211</t>
  </si>
  <si>
    <t>0,23729487</t>
  </si>
  <si>
    <t>0,52127874</t>
  </si>
  <si>
    <t>2,8749828</t>
  </si>
  <si>
    <t>0,36524286</t>
  </si>
  <si>
    <t>0,59981356</t>
  </si>
  <si>
    <t>1,0781926</t>
  </si>
  <si>
    <t>0,089561294</t>
  </si>
  <si>
    <t>0,059418325</t>
  </si>
  <si>
    <t>0,24882523</t>
  </si>
  <si>
    <t>0,85232964</t>
  </si>
  <si>
    <t>0,20572923</t>
  </si>
  <si>
    <t>0,078880597</t>
  </si>
  <si>
    <t>3,7700787</t>
  </si>
  <si>
    <t>0,69914721</t>
  </si>
  <si>
    <t>0,18484537</t>
  </si>
  <si>
    <t>0,68982657</t>
  </si>
  <si>
    <t>1,7957521</t>
  </si>
  <si>
    <t>0,3291136</t>
  </si>
  <si>
    <t>-0,17879993</t>
  </si>
  <si>
    <t>0,36968272</t>
  </si>
  <si>
    <t>0,90827185</t>
  </si>
  <si>
    <t>0,36183311</t>
  </si>
  <si>
    <t>0,83947912</t>
  </si>
  <si>
    <t>0,47682659</t>
  </si>
  <si>
    <t>1,3619238</t>
  </si>
  <si>
    <t>1,6270286</t>
  </si>
  <si>
    <t>0,14004578</t>
  </si>
  <si>
    <t>0,17567352</t>
  </si>
  <si>
    <t>3,6929481</t>
  </si>
  <si>
    <t>1,4586145</t>
  </si>
  <si>
    <t>0,79241484</t>
  </si>
  <si>
    <t>0,21172365</t>
  </si>
  <si>
    <t>0,74962294</t>
  </si>
  <si>
    <t>0,586264</t>
  </si>
  <si>
    <t>0,62803306</t>
  </si>
  <si>
    <t>0,37961127</t>
  </si>
  <si>
    <t>0,32568237</t>
  </si>
  <si>
    <t>0,2106995</t>
  </si>
  <si>
    <t>0,73789068</t>
  </si>
  <si>
    <t>0,85440289</t>
  </si>
  <si>
    <t>0,20926895</t>
  </si>
  <si>
    <t>0,53157333</t>
  </si>
  <si>
    <t>0,60268647</t>
  </si>
  <si>
    <t>0,70149394</t>
  </si>
  <si>
    <t>0,17167647</t>
  </si>
  <si>
    <t>0,24737329</t>
  </si>
  <si>
    <t>0,16565359</t>
  </si>
  <si>
    <t>0,16227798</t>
  </si>
  <si>
    <t>0,42439709</t>
  </si>
  <si>
    <t>1,0364315</t>
  </si>
  <si>
    <t>3,0767016</t>
  </si>
  <si>
    <t>0,36750605</t>
  </si>
  <si>
    <t>0,28475149</t>
  </si>
  <si>
    <t>0,30572179</t>
  </si>
  <si>
    <t>0,36359049</t>
  </si>
  <si>
    <t>0,1074746</t>
  </si>
  <si>
    <t>0,70019128</t>
  </si>
  <si>
    <t>0,52053481</t>
  </si>
  <si>
    <t>3,1996868</t>
  </si>
  <si>
    <t>0,29566115</t>
  </si>
  <si>
    <t>0,89869784</t>
  </si>
  <si>
    <t>0,11859951</t>
  </si>
  <si>
    <t>0,096301988</t>
  </si>
  <si>
    <t>1,9380133</t>
  </si>
  <si>
    <t>3,2794158</t>
  </si>
  <si>
    <t>0,16834913</t>
  </si>
  <si>
    <t>0,3939445</t>
  </si>
  <si>
    <t>0,11020605</t>
  </si>
  <si>
    <t>2,3434028</t>
  </si>
  <si>
    <t>0,58547404</t>
  </si>
  <si>
    <t>0,11503631</t>
  </si>
  <si>
    <t>0,99997673</t>
  </si>
  <si>
    <t>0,32872957</t>
  </si>
  <si>
    <t>1,429814</t>
  </si>
  <si>
    <t>1,6980162</t>
  </si>
  <si>
    <t>0,68930514</t>
  </si>
  <si>
    <t>0,10998327</t>
  </si>
  <si>
    <t>1,2200392</t>
  </si>
  <si>
    <t>2,130523</t>
  </si>
  <si>
    <t>0,94311215</t>
  </si>
  <si>
    <t>0,49297563</t>
  </si>
  <si>
    <t>0,052126527</t>
  </si>
  <si>
    <t>0,50386794</t>
  </si>
  <si>
    <t>0,39486474</t>
  </si>
  <si>
    <t>0,39370241</t>
  </si>
  <si>
    <t>-0,19075554</t>
  </si>
  <si>
    <t>0,084398653</t>
  </si>
  <si>
    <t>0,12181365</t>
  </si>
  <si>
    <t>0,45006</t>
  </si>
  <si>
    <t>0,48882911</t>
  </si>
  <si>
    <t>0,1326141</t>
  </si>
  <si>
    <t>0,19194022</t>
  </si>
  <si>
    <t>0,33475556</t>
  </si>
  <si>
    <t>0,1480323</t>
  </si>
  <si>
    <t>0,05864336</t>
  </si>
  <si>
    <t>0,14772396</t>
  </si>
  <si>
    <t>0,097243148</t>
  </si>
  <si>
    <t>0,021201147</t>
  </si>
  <si>
    <t>0,28647927</t>
  </si>
  <si>
    <t>0,72020648</t>
  </si>
  <si>
    <t>1,5976488</t>
  </si>
  <si>
    <t>0,16647295</t>
  </si>
  <si>
    <t>0,15404074</t>
  </si>
  <si>
    <t>0,19159642</t>
  </si>
  <si>
    <t>0,22757219</t>
  </si>
  <si>
    <t>0,028192483</t>
  </si>
  <si>
    <t>-0,044273093</t>
  </si>
  <si>
    <t>0,4326719</t>
  </si>
  <si>
    <t>1,8693944</t>
  </si>
  <si>
    <t>0,034283768</t>
  </si>
  <si>
    <t>0,46542923</t>
  </si>
  <si>
    <t>0,014690694</t>
  </si>
  <si>
    <t>0,057294554</t>
  </si>
  <si>
    <t>1,1152272</t>
  </si>
  <si>
    <t>1,6882199</t>
  </si>
  <si>
    <t>0,022364443</t>
  </si>
  <si>
    <t>0,17023493</t>
  </si>
  <si>
    <t>0,049447713</t>
  </si>
  <si>
    <t>1,3578275</t>
  </si>
  <si>
    <t>0,34373395</t>
  </si>
  <si>
    <t>0,0010609036</t>
  </si>
  <si>
    <t>0,595441</t>
  </si>
  <si>
    <t>0,09476833</t>
  </si>
  <si>
    <t>0,26545999</t>
  </si>
  <si>
    <t>0,9731865</t>
  </si>
  <si>
    <t>0,38348982</t>
  </si>
  <si>
    <t>0,05641587</t>
  </si>
  <si>
    <t>0,63404511</t>
  </si>
  <si>
    <t>1,5624251</t>
  </si>
  <si>
    <t>0,51550236</t>
  </si>
  <si>
    <t>0,2994392</t>
  </si>
  <si>
    <t>0,15959713</t>
  </si>
  <si>
    <t>0,245755</t>
  </si>
  <si>
    <t>0,19139926</t>
  </si>
  <si>
    <t>0,23433065</t>
  </si>
  <si>
    <t>0,57036681</t>
  </si>
  <si>
    <t>0,24128372</t>
  </si>
  <si>
    <t>0,088885847</t>
  </si>
  <si>
    <t>0,28783068</t>
  </si>
  <si>
    <t>0,36557378</t>
  </si>
  <si>
    <t>0,076654854</t>
  </si>
  <si>
    <t>0,33963311</t>
  </si>
  <si>
    <t>0,26793091</t>
  </si>
  <si>
    <t>0,55346164</t>
  </si>
  <si>
    <t>0,11303311</t>
  </si>
  <si>
    <t>0,099649331</t>
  </si>
  <si>
    <t>0,068410441</t>
  </si>
  <si>
    <t>0,14107683</t>
  </si>
  <si>
    <t>0,13791783</t>
  </si>
  <si>
    <t>0,31622502</t>
  </si>
  <si>
    <t>1,4790528</t>
  </si>
  <si>
    <t>0,2010331</t>
  </si>
  <si>
    <t>0,13071075</t>
  </si>
  <si>
    <t>0,11412537</t>
  </si>
  <si>
    <t>0,1360183</t>
  </si>
  <si>
    <t>0,079282119</t>
  </si>
  <si>
    <t>0,74446437</t>
  </si>
  <si>
    <t>0,087862914</t>
  </si>
  <si>
    <t>1,3302924</t>
  </si>
  <si>
    <t>0,26137738</t>
  </si>
  <si>
    <t>0,43326861</t>
  </si>
  <si>
    <t>0,10390882</t>
  </si>
  <si>
    <t>0,039007433</t>
  </si>
  <si>
    <t>0,82278611</t>
  </si>
  <si>
    <t>1,5911959</t>
  </si>
  <si>
    <t>0,14598468</t>
  </si>
  <si>
    <t>0,22370957</t>
  </si>
  <si>
    <t>0,060758339</t>
  </si>
  <si>
    <t>0,98557525</t>
  </si>
  <si>
    <t>0,24174009</t>
  </si>
  <si>
    <t>0,11397541</t>
  </si>
  <si>
    <t>0,40453572</t>
  </si>
  <si>
    <t>0,23396124</t>
  </si>
  <si>
    <t>1,164354</t>
  </si>
  <si>
    <t>0,72482971</t>
  </si>
  <si>
    <t>0,30581532</t>
  </si>
  <si>
    <t>0,053567401</t>
  </si>
  <si>
    <t>0,5859941</t>
  </si>
  <si>
    <t>Analizar</t>
  </si>
  <si>
    <t>Contribución proceso</t>
  </si>
  <si>
    <t xml:space="preserve">Product: </t>
  </si>
  <si>
    <t xml:space="preserve">Cortar: </t>
  </si>
  <si>
    <t>Descendente</t>
  </si>
  <si>
    <t>Proceso</t>
  </si>
  <si>
    <t>Proyecto</t>
  </si>
  <si>
    <t>El total de todos los procesos</t>
  </si>
  <si>
    <t>Procesos remanentes</t>
  </si>
  <si>
    <t>Agri-footprint - economic - unit</t>
  </si>
  <si>
    <t>Ecuador_needs</t>
  </si>
  <si>
    <t>Agri-footprint 5 - economic allocation</t>
  </si>
  <si>
    <t>AGRIBALYSE - Unit</t>
  </si>
  <si>
    <t>Contribution analyses</t>
  </si>
  <si>
    <t>FAO food groups</t>
  </si>
  <si>
    <t>Current diet demand (t/y)</t>
  </si>
  <si>
    <t>Current domestic production available as food (t/y)</t>
  </si>
  <si>
    <t>Additional domestic production required to satisfy current diet demand</t>
  </si>
  <si>
    <t>EAT-Lancet food groups</t>
  </si>
  <si>
    <t>EAT-Lancet diet</t>
  </si>
  <si>
    <t>Current food availability</t>
  </si>
  <si>
    <t>Additional food availability required to satisfy EAT-Lancet diet demand</t>
  </si>
  <si>
    <t>Additional domestic production required to satisfy EAT-Lancet (Selective) diet demand</t>
  </si>
  <si>
    <t>A. As is</t>
  </si>
  <si>
    <t>B. Adding current food exports</t>
  </si>
  <si>
    <t>Respective to A</t>
  </si>
  <si>
    <t>Respective to B</t>
  </si>
  <si>
    <t>Proportional</t>
  </si>
  <si>
    <t>Selective</t>
  </si>
  <si>
    <t>Cereals - Excluding Beer</t>
  </si>
  <si>
    <t>Whole grains</t>
  </si>
  <si>
    <t>Starchy Roots</t>
  </si>
  <si>
    <t>Tubers and starchy roots</t>
  </si>
  <si>
    <t>Vegetables</t>
  </si>
  <si>
    <t>Fruits - Excluding Wine</t>
  </si>
  <si>
    <t>Fruits</t>
  </si>
  <si>
    <t>Treenuts</t>
  </si>
  <si>
    <t>Tree nuts and peanuts</t>
  </si>
  <si>
    <t>Pulses</t>
  </si>
  <si>
    <t>Legumes</t>
  </si>
  <si>
    <t>Milk - Excluding Butter</t>
  </si>
  <si>
    <t>Milk or equivalents</t>
  </si>
  <si>
    <t>Meat</t>
  </si>
  <si>
    <t>Poultry</t>
  </si>
  <si>
    <t>Fish, Seafood</t>
  </si>
  <si>
    <t>Fish</t>
  </si>
  <si>
    <t>Eggs</t>
  </si>
  <si>
    <t>Red meat (beef)</t>
  </si>
  <si>
    <t>Red meat (swine)</t>
  </si>
  <si>
    <t>Vegetable Oils</t>
  </si>
  <si>
    <t>Unsaturated plant oils</t>
  </si>
  <si>
    <t>Oilcrops</t>
  </si>
  <si>
    <t>Palm and coconut oil</t>
  </si>
  <si>
    <t>Animal fats</t>
  </si>
  <si>
    <t>Lard, tallow, butter</t>
  </si>
  <si>
    <t>Sugar &amp; Sweeteners</t>
  </si>
  <si>
    <t>Sugar</t>
  </si>
  <si>
    <t>Spices</t>
  </si>
  <si>
    <t>Sodium</t>
  </si>
  <si>
    <t>Alcoholic Beverages</t>
  </si>
  <si>
    <t>Miscelaneous</t>
  </si>
  <si>
    <t>Offals</t>
  </si>
  <si>
    <t>Food imports</t>
  </si>
  <si>
    <t>Animal Products</t>
  </si>
  <si>
    <t>Aquatic Products, Other</t>
  </si>
  <si>
    <t>Grand Total</t>
  </si>
  <si>
    <t>Miscellaneous</t>
  </si>
  <si>
    <t>Stimulants</t>
  </si>
  <si>
    <t>Sugar Crops</t>
  </si>
  <si>
    <t>Imports</t>
  </si>
  <si>
    <t>beef</t>
  </si>
  <si>
    <t>swine</t>
  </si>
  <si>
    <t>poultry</t>
  </si>
  <si>
    <t>1 kg Consumption egg, at farm {RER} Economic, U (del proyecto Agri-footprint - economic - unit)</t>
  </si>
  <si>
    <t>1 kg Egg, national average, at farm gate {FR} U (del proyecto AGRIBALYSE - Unit)</t>
  </si>
  <si>
    <t>Consumption egg, at farm {RER} Economic, U</t>
  </si>
  <si>
    <t>Egg, national average, at farm gate {FR} U</t>
  </si>
  <si>
    <t>1 kg Cow milk {GLO}| market for cow milk | Cut-off, U (del proyecto Ecoinvent 3 - allocation, cut-off by classification - unit)</t>
  </si>
  <si>
    <t>1 kg Milk raw, at farm {BR} Economic, U (del proyecto Agri-footprint - economic - unit)</t>
  </si>
  <si>
    <t>Cow milk {GLO}| market for cow milk | Cut-off, U</t>
  </si>
  <si>
    <t>Milk raw, at farm {BR} Economic, U</t>
  </si>
  <si>
    <t>1 kg Red meat, live weight {GLO}| market for red meat, live weight | Cut-off, U (del proyecto Ecoinvent 3 - allocation, cut-off by classification - unit)</t>
  </si>
  <si>
    <t>Red meat, live weight {GLO}| market for red meat, live weight | Cut-off, U</t>
  </si>
  <si>
    <t>1 kg 1. Ecuadorian diet, FAOSTAT, g, based on Current food availability (del proyecto Ecuador_needs)</t>
  </si>
  <si>
    <t>1. Ecuadorian diet, FAOSTAT, g, based on Current food availability</t>
  </si>
  <si>
    <t>Wheat grain, at farm {CA} Economic, U</t>
  </si>
  <si>
    <t>Potato {CN}| potato production | Cut-off, U</t>
  </si>
  <si>
    <t>Peanut {AR}| peanut production | Cut-off, U</t>
  </si>
  <si>
    <t>Beans, dry, market mix, at regional storage/RER Economic</t>
  </si>
  <si>
    <t>Landed tuna, frozen, EPO {EC}| tuna, capture by purse seiner and landing whole, frozen | Cut-off, U</t>
  </si>
  <si>
    <t>Shrimp or prawn, raw, processed in FR | Chilled | PS | at distribution {FR} U</t>
  </si>
  <si>
    <t>Refined sunflower oil (solvent), at processing/AR Economic</t>
  </si>
  <si>
    <t>Butter, from cow milk {GLO}| market for butter, from cow milk | Cut-off, U</t>
  </si>
  <si>
    <t>Fruit soft drink, carbonated (less than 10% of fruit juice), with sugar, processed in FR | Chilled | PET | at distribution {FR} U</t>
  </si>
  <si>
    <t>Salt {GLO}| market for salt | Cut-off, U</t>
  </si>
  <si>
    <t>Beer, regular (4-5 degrees alcohol), at plant {FR} U</t>
  </si>
  <si>
    <t>Caen-style tripe, at plant {FR} U</t>
  </si>
  <si>
    <t>Salty snacks, crackers, plain, at plant {FR} U</t>
  </si>
  <si>
    <t>Soybeans, at farm {BR} Economic, U</t>
  </si>
  <si>
    <t>Maize, at farm {BR} Economic, U</t>
  </si>
  <si>
    <t>Transport, truck &gt;20t, EURO4, 50%LF, default {GLO} Economic, U</t>
  </si>
  <si>
    <t>Sunflower seed, at farm/AR Economic</t>
  </si>
  <si>
    <t>Energy, from diesel burned in machinery {RER} Economic, U</t>
  </si>
  <si>
    <t>Heat, district or industrial, natural gas {RoW}| heat production, natural gas, at industrial furnace &gt;100kW | Cut-off, S - Copied from ecoinvent U</t>
  </si>
  <si>
    <t>Cow milk {RoW}| milk production, from cow | Cut-off, U</t>
  </si>
  <si>
    <t>Ecoinvent 3 - allocation, cut-off by classification - unit</t>
  </si>
  <si>
    <t>Diesel, burned in fishing vessel {GLO}| diesel, burned in fishing vessel | Cut-off, U</t>
  </si>
  <si>
    <t>Soybeans, start material, at seed production {BR} Economic, U</t>
  </si>
  <si>
    <t>Silage maize, conventional, national average, animal feed, at farm gate, production {FR} U</t>
  </si>
  <si>
    <t>Grazed grass, permanent meadow, without clover, Auvergne, on field {FR} U</t>
  </si>
  <si>
    <t>Grazed grass, permanent meadow, without clover, Northwestern region, on field {FR} U</t>
  </si>
  <si>
    <t>Wheat straw, animal feed, average practices {FR} U</t>
  </si>
  <si>
    <t>1 kg 3. Ecuadorian diet, EAT-Lancet, g, selective (del proyecto Ecuador_needs)</t>
  </si>
  <si>
    <t>3. Ecuadorian diet, EAT-Lancet, g, selective</t>
  </si>
  <si>
    <t>Tomato, fresh grade {GLO}| market for tomato, fresh grade | Cut-off, U</t>
  </si>
  <si>
    <t>Land tenure, arable land, measured as carbon net primary productivity, annual crop {AR}| clear-cutting, secondary forest to arable land, annual crop | Cut-off, U</t>
  </si>
  <si>
    <t>Beans, dry, at farm/AR Economic</t>
  </si>
  <si>
    <t>Irrigation {RoW}| irrigation, surface | Cut-off, U</t>
  </si>
  <si>
    <t>Beans, dry, at farm/ET Economic</t>
  </si>
  <si>
    <t>Electricity, medium voltage {RAS}| market group for | Cut-off, S - Copied from Ecoinvent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</si>
</sst>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11" fontId="0" fillId="0" borderId="0" xfId="0" applyNumberFormat="1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2" xfId="0" applyBorder="1"/>
    <xf numFmtId="0" fontId="4" fillId="0" borderId="2" xfId="0" applyFont="1" applyBorder="1" applyAlignment="1">
      <alignment vertical="top" wrapText="1"/>
    </xf>
    <xf numFmtId="0" fontId="0" fillId="0" borderId="0" xfId="0" applyAlignment="1">
      <alignment vertical="top"/>
    </xf>
    <xf numFmtId="164" fontId="0" fillId="0" borderId="0" xfId="1" applyNumberFormat="1" applyFont="1"/>
    <xf numFmtId="0" fontId="0" fillId="0" borderId="3" xfId="0" applyBorder="1" applyAlignment="1">
      <alignment vertical="top"/>
    </xf>
    <xf numFmtId="164" fontId="0" fillId="0" borderId="3" xfId="1" applyNumberFormat="1" applyFont="1" applyBorder="1"/>
    <xf numFmtId="164" fontId="0" fillId="0" borderId="3" xfId="0" applyNumberFormat="1" applyBorder="1"/>
    <xf numFmtId="0" fontId="0" fillId="0" borderId="1" xfId="0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32"/>
  <sheetViews>
    <sheetView workbookViewId="0">
      <selection activeCell="C30" sqref="C30:Q32"/>
    </sheetView>
  </sheetViews>
  <sheetFormatPr defaultRowHeight="15" x14ac:dyDescent="0.25"/>
  <cols>
    <col min="1" max="1" width="10.7109375" bestFit="1" customWidth="1"/>
  </cols>
  <sheetData>
    <row r="2" spans="1:20" x14ac:dyDescent="0.25">
      <c r="A2" t="s">
        <v>0</v>
      </c>
      <c r="B2" t="s">
        <v>1</v>
      </c>
      <c r="S2" t="s">
        <v>0</v>
      </c>
      <c r="T2" t="s">
        <v>1</v>
      </c>
    </row>
    <row r="3" spans="1:20" x14ac:dyDescent="0.25">
      <c r="A3" t="s">
        <v>2</v>
      </c>
      <c r="B3" t="s">
        <v>3</v>
      </c>
      <c r="S3" t="s">
        <v>2</v>
      </c>
      <c r="T3" t="s">
        <v>3</v>
      </c>
    </row>
    <row r="4" spans="1:20" x14ac:dyDescent="0.25">
      <c r="A4" t="s">
        <v>4</v>
      </c>
      <c r="B4" t="s">
        <v>5</v>
      </c>
      <c r="S4" t="s">
        <v>4</v>
      </c>
      <c r="T4" t="s">
        <v>69</v>
      </c>
    </row>
    <row r="5" spans="1:20" x14ac:dyDescent="0.25">
      <c r="A5" t="s">
        <v>6</v>
      </c>
      <c r="B5" t="s">
        <v>7</v>
      </c>
      <c r="S5" t="s">
        <v>6</v>
      </c>
      <c r="T5" t="s">
        <v>70</v>
      </c>
    </row>
    <row r="6" spans="1:20" x14ac:dyDescent="0.25">
      <c r="A6" t="s">
        <v>8</v>
      </c>
      <c r="B6" t="s">
        <v>9</v>
      </c>
      <c r="S6" t="s">
        <v>8</v>
      </c>
      <c r="T6" t="s">
        <v>71</v>
      </c>
    </row>
    <row r="7" spans="1:20" x14ac:dyDescent="0.25">
      <c r="A7" t="s">
        <v>10</v>
      </c>
      <c r="B7" t="s">
        <v>11</v>
      </c>
      <c r="S7" t="s">
        <v>18</v>
      </c>
      <c r="T7" t="s">
        <v>19</v>
      </c>
    </row>
    <row r="8" spans="1:20" x14ac:dyDescent="0.25">
      <c r="A8" t="s">
        <v>12</v>
      </c>
      <c r="B8" t="s">
        <v>13</v>
      </c>
      <c r="S8" t="s">
        <v>20</v>
      </c>
      <c r="T8" t="s">
        <v>21</v>
      </c>
    </row>
    <row r="9" spans="1:20" x14ac:dyDescent="0.25">
      <c r="A9" t="s">
        <v>14</v>
      </c>
      <c r="B9" t="s">
        <v>15</v>
      </c>
      <c r="S9" t="s">
        <v>22</v>
      </c>
      <c r="T9" t="s">
        <v>23</v>
      </c>
    </row>
    <row r="10" spans="1:20" x14ac:dyDescent="0.25">
      <c r="A10" t="s">
        <v>16</v>
      </c>
      <c r="B10" t="s">
        <v>17</v>
      </c>
      <c r="S10" t="s">
        <v>24</v>
      </c>
      <c r="T10" t="s">
        <v>25</v>
      </c>
    </row>
    <row r="11" spans="1:20" x14ac:dyDescent="0.25">
      <c r="A11" t="s">
        <v>45</v>
      </c>
      <c r="B11" t="s">
        <v>46</v>
      </c>
      <c r="S11" t="s">
        <v>26</v>
      </c>
      <c r="T11" t="s">
        <v>25</v>
      </c>
    </row>
    <row r="12" spans="1:20" x14ac:dyDescent="0.25">
      <c r="A12" t="s">
        <v>47</v>
      </c>
      <c r="B12" t="s">
        <v>48</v>
      </c>
      <c r="S12" t="s">
        <v>27</v>
      </c>
      <c r="T12" t="s">
        <v>25</v>
      </c>
    </row>
    <row r="13" spans="1:20" x14ac:dyDescent="0.25">
      <c r="A13" t="s">
        <v>49</v>
      </c>
      <c r="B13" t="s">
        <v>50</v>
      </c>
      <c r="S13" t="s">
        <v>28</v>
      </c>
      <c r="T13" t="s">
        <v>25</v>
      </c>
    </row>
    <row r="14" spans="1:20" x14ac:dyDescent="0.25">
      <c r="A14" t="s">
        <v>51</v>
      </c>
      <c r="B14" t="s">
        <v>52</v>
      </c>
      <c r="S14" t="s">
        <v>29</v>
      </c>
      <c r="T14" t="s">
        <v>30</v>
      </c>
    </row>
    <row r="15" spans="1:20" x14ac:dyDescent="0.25">
      <c r="A15" t="s">
        <v>53</v>
      </c>
      <c r="B15" t="s">
        <v>54</v>
      </c>
      <c r="S15" t="s">
        <v>31</v>
      </c>
      <c r="T15" t="s">
        <v>32</v>
      </c>
    </row>
    <row r="16" spans="1:20" x14ac:dyDescent="0.25">
      <c r="A16" t="s">
        <v>55</v>
      </c>
      <c r="B16" t="s">
        <v>56</v>
      </c>
    </row>
    <row r="17" spans="1:23" x14ac:dyDescent="0.25">
      <c r="A17" t="s">
        <v>57</v>
      </c>
      <c r="B17" t="s">
        <v>58</v>
      </c>
      <c r="S17" t="s">
        <v>30</v>
      </c>
      <c r="T17" t="s">
        <v>33</v>
      </c>
      <c r="U17" t="s">
        <v>72</v>
      </c>
      <c r="V17" t="s">
        <v>73</v>
      </c>
      <c r="W17" t="s">
        <v>74</v>
      </c>
    </row>
    <row r="18" spans="1:23" x14ac:dyDescent="0.25">
      <c r="A18" t="s">
        <v>59</v>
      </c>
      <c r="B18" t="s">
        <v>60</v>
      </c>
      <c r="S18" t="s">
        <v>41</v>
      </c>
      <c r="T18" t="s">
        <v>42</v>
      </c>
      <c r="U18">
        <v>3.5658696999999999</v>
      </c>
      <c r="V18">
        <v>2.3872146999999999</v>
      </c>
      <c r="W18">
        <v>1.8339487000000001</v>
      </c>
    </row>
    <row r="19" spans="1:23" x14ac:dyDescent="0.25">
      <c r="A19" t="s">
        <v>18</v>
      </c>
      <c r="B19" t="s">
        <v>19</v>
      </c>
      <c r="S19" t="s">
        <v>43</v>
      </c>
      <c r="T19" t="s">
        <v>42</v>
      </c>
      <c r="U19">
        <v>2.6538105000000001</v>
      </c>
      <c r="V19">
        <v>1.6922695999999999</v>
      </c>
      <c r="W19">
        <v>1.3648765</v>
      </c>
    </row>
    <row r="20" spans="1:23" x14ac:dyDescent="0.25">
      <c r="A20" t="s">
        <v>20</v>
      </c>
      <c r="B20" t="s">
        <v>21</v>
      </c>
      <c r="S20" t="s">
        <v>44</v>
      </c>
      <c r="T20" t="s">
        <v>42</v>
      </c>
      <c r="U20">
        <v>0.91205919000000002</v>
      </c>
      <c r="V20">
        <v>0.69494515999999995</v>
      </c>
      <c r="W20">
        <v>0.46907212999999998</v>
      </c>
    </row>
    <row r="21" spans="1:23" x14ac:dyDescent="0.25">
      <c r="A21" t="s">
        <v>22</v>
      </c>
      <c r="B21" t="s">
        <v>23</v>
      </c>
    </row>
    <row r="22" spans="1:23" x14ac:dyDescent="0.25">
      <c r="A22" t="s">
        <v>24</v>
      </c>
      <c r="B22" t="s">
        <v>25</v>
      </c>
    </row>
    <row r="23" spans="1:23" x14ac:dyDescent="0.25">
      <c r="A23" t="s">
        <v>26</v>
      </c>
      <c r="B23" t="s">
        <v>25</v>
      </c>
    </row>
    <row r="24" spans="1:23" x14ac:dyDescent="0.25">
      <c r="A24" t="s">
        <v>27</v>
      </c>
      <c r="B24" t="s">
        <v>25</v>
      </c>
    </row>
    <row r="25" spans="1:23" x14ac:dyDescent="0.25">
      <c r="A25" t="s">
        <v>28</v>
      </c>
      <c r="B25" t="s">
        <v>25</v>
      </c>
    </row>
    <row r="26" spans="1:23" x14ac:dyDescent="0.25">
      <c r="A26" t="s">
        <v>29</v>
      </c>
      <c r="B26" t="s">
        <v>30</v>
      </c>
    </row>
    <row r="27" spans="1:23" x14ac:dyDescent="0.25">
      <c r="A27" t="s">
        <v>31</v>
      </c>
      <c r="B27" t="s">
        <v>32</v>
      </c>
    </row>
    <row r="29" spans="1:23" x14ac:dyDescent="0.25">
      <c r="A29" t="s">
        <v>30</v>
      </c>
      <c r="B29" t="s">
        <v>33</v>
      </c>
      <c r="C29" t="s">
        <v>34</v>
      </c>
      <c r="D29" t="s">
        <v>35</v>
      </c>
      <c r="E29" t="s">
        <v>36</v>
      </c>
      <c r="F29" t="s">
        <v>37</v>
      </c>
      <c r="G29" t="s">
        <v>38</v>
      </c>
      <c r="H29" t="s">
        <v>39</v>
      </c>
      <c r="I29" t="s">
        <v>40</v>
      </c>
      <c r="J29" t="s">
        <v>61</v>
      </c>
      <c r="K29" t="s">
        <v>62</v>
      </c>
      <c r="L29" t="s">
        <v>63</v>
      </c>
      <c r="M29" t="s">
        <v>64</v>
      </c>
      <c r="N29" t="s">
        <v>65</v>
      </c>
      <c r="O29" t="s">
        <v>66</v>
      </c>
      <c r="P29" t="s">
        <v>67</v>
      </c>
      <c r="Q29" t="s">
        <v>68</v>
      </c>
    </row>
    <row r="30" spans="1:23" x14ac:dyDescent="0.25">
      <c r="A30" t="s">
        <v>41</v>
      </c>
      <c r="B30" t="s">
        <v>42</v>
      </c>
      <c r="C30">
        <v>1.0963927</v>
      </c>
      <c r="D30">
        <v>0.15213515</v>
      </c>
      <c r="E30">
        <v>0.54815786</v>
      </c>
      <c r="F30">
        <v>6.3927749</v>
      </c>
      <c r="G30">
        <v>4.1501884000000002</v>
      </c>
      <c r="H30">
        <v>0.53973846000000003</v>
      </c>
      <c r="I30">
        <v>0.21763241999999999</v>
      </c>
      <c r="J30">
        <v>3.897373</v>
      </c>
      <c r="K30">
        <v>9.6292538000000008</v>
      </c>
      <c r="L30">
        <v>15.556906</v>
      </c>
      <c r="M30">
        <v>4.3952958999999998</v>
      </c>
      <c r="N30">
        <v>32.401116000000002</v>
      </c>
      <c r="O30">
        <v>0.18359429999999999</v>
      </c>
      <c r="P30">
        <v>2.8192629999999999</v>
      </c>
      <c r="Q30">
        <v>26.819091</v>
      </c>
    </row>
    <row r="31" spans="1:23" x14ac:dyDescent="0.25">
      <c r="A31" t="s">
        <v>43</v>
      </c>
      <c r="B31" t="s">
        <v>42</v>
      </c>
      <c r="C31">
        <v>0.60320324999999997</v>
      </c>
      <c r="D31">
        <v>8.6162248999999996E-2</v>
      </c>
      <c r="E31">
        <v>0.30571544</v>
      </c>
      <c r="F31">
        <v>4.0446188000000003</v>
      </c>
      <c r="G31">
        <v>2.2960818000000001</v>
      </c>
      <c r="H31">
        <v>0.28208689999999997</v>
      </c>
      <c r="I31">
        <v>0.10665301000000001</v>
      </c>
      <c r="J31">
        <v>2.3501360999999998</v>
      </c>
      <c r="K31">
        <v>6.1012538000000003</v>
      </c>
      <c r="L31">
        <v>7.3958240999999996</v>
      </c>
      <c r="M31">
        <v>2.5776667999999998</v>
      </c>
      <c r="N31">
        <v>15.347877</v>
      </c>
      <c r="O31">
        <v>-4.8742675999999999E-2</v>
      </c>
      <c r="P31">
        <v>1.4873098</v>
      </c>
      <c r="Q31">
        <v>13.106153000000001</v>
      </c>
    </row>
    <row r="32" spans="1:23" x14ac:dyDescent="0.25">
      <c r="A32" t="s">
        <v>44</v>
      </c>
      <c r="B32" t="s">
        <v>42</v>
      </c>
      <c r="C32">
        <v>0.49318943999999998</v>
      </c>
      <c r="D32">
        <v>6.5972899000000002E-2</v>
      </c>
      <c r="E32">
        <v>0.24244241</v>
      </c>
      <c r="F32">
        <v>2.3481561000000002</v>
      </c>
      <c r="G32">
        <v>1.8541065999999999</v>
      </c>
      <c r="H32">
        <v>0.25765156</v>
      </c>
      <c r="I32">
        <v>0.11097941</v>
      </c>
      <c r="J32">
        <v>1.547237</v>
      </c>
      <c r="K32">
        <v>3.528</v>
      </c>
      <c r="L32">
        <v>8.1610820999999998</v>
      </c>
      <c r="M32">
        <v>1.8176291</v>
      </c>
      <c r="N32">
        <v>17.053239000000001</v>
      </c>
      <c r="O32">
        <v>0.23233697</v>
      </c>
      <c r="P32">
        <v>1.3319532000000001</v>
      </c>
      <c r="Q32">
        <v>13.712937999999999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204EE-76B8-4235-9713-7B898C2D2B41}">
  <dimension ref="A1:AA28"/>
  <sheetViews>
    <sheetView workbookViewId="0">
      <selection activeCell="O30" sqref="O30"/>
    </sheetView>
  </sheetViews>
  <sheetFormatPr defaultRowHeight="15" x14ac:dyDescent="0.25"/>
  <sheetData>
    <row r="1" spans="1:18" x14ac:dyDescent="0.25">
      <c r="A1" t="s">
        <v>93</v>
      </c>
    </row>
    <row r="2" spans="1:18" x14ac:dyDescent="0.25">
      <c r="A2" t="s">
        <v>94</v>
      </c>
    </row>
    <row r="4" spans="1:18" x14ac:dyDescent="0.25">
      <c r="A4" t="s">
        <v>0</v>
      </c>
      <c r="B4" t="s">
        <v>1</v>
      </c>
      <c r="Q4" t="s">
        <v>0</v>
      </c>
      <c r="R4" t="s">
        <v>1</v>
      </c>
    </row>
    <row r="5" spans="1:18" x14ac:dyDescent="0.25">
      <c r="A5" t="s">
        <v>2</v>
      </c>
      <c r="B5" t="s">
        <v>3</v>
      </c>
      <c r="Q5" t="s">
        <v>2</v>
      </c>
      <c r="R5" t="s">
        <v>3</v>
      </c>
    </row>
    <row r="6" spans="1:18" x14ac:dyDescent="0.25">
      <c r="A6" t="s">
        <v>4</v>
      </c>
      <c r="B6" t="s">
        <v>95</v>
      </c>
      <c r="Q6" t="s">
        <v>4</v>
      </c>
      <c r="R6" t="s">
        <v>113</v>
      </c>
    </row>
    <row r="7" spans="1:18" x14ac:dyDescent="0.25">
      <c r="A7" t="s">
        <v>6</v>
      </c>
      <c r="B7" t="s">
        <v>96</v>
      </c>
      <c r="Q7" t="s">
        <v>6</v>
      </c>
      <c r="R7" t="s">
        <v>114</v>
      </c>
    </row>
    <row r="8" spans="1:18" x14ac:dyDescent="0.25">
      <c r="A8" t="s">
        <v>8</v>
      </c>
      <c r="B8" t="s">
        <v>97</v>
      </c>
      <c r="Q8" t="s">
        <v>8</v>
      </c>
      <c r="R8" t="s">
        <v>115</v>
      </c>
    </row>
    <row r="9" spans="1:18" x14ac:dyDescent="0.25">
      <c r="A9" t="s">
        <v>10</v>
      </c>
      <c r="B9" t="s">
        <v>98</v>
      </c>
      <c r="Q9" t="s">
        <v>10</v>
      </c>
      <c r="R9" t="s">
        <v>116</v>
      </c>
    </row>
    <row r="10" spans="1:18" x14ac:dyDescent="0.25">
      <c r="A10" t="s">
        <v>12</v>
      </c>
      <c r="B10" t="s">
        <v>99</v>
      </c>
      <c r="Q10" t="s">
        <v>12</v>
      </c>
      <c r="R10" t="s">
        <v>117</v>
      </c>
    </row>
    <row r="11" spans="1:18" x14ac:dyDescent="0.25">
      <c r="A11" t="s">
        <v>14</v>
      </c>
      <c r="B11" t="s">
        <v>100</v>
      </c>
      <c r="Q11" t="s">
        <v>14</v>
      </c>
      <c r="R11" t="s">
        <v>118</v>
      </c>
    </row>
    <row r="12" spans="1:18" x14ac:dyDescent="0.25">
      <c r="A12" t="s">
        <v>16</v>
      </c>
      <c r="B12" t="s">
        <v>101</v>
      </c>
      <c r="Q12" t="s">
        <v>16</v>
      </c>
      <c r="R12" t="s">
        <v>119</v>
      </c>
    </row>
    <row r="13" spans="1:18" x14ac:dyDescent="0.25">
      <c r="A13" t="s">
        <v>45</v>
      </c>
      <c r="B13" t="s">
        <v>102</v>
      </c>
      <c r="Q13" t="s">
        <v>45</v>
      </c>
      <c r="R13" t="s">
        <v>120</v>
      </c>
    </row>
    <row r="14" spans="1:18" x14ac:dyDescent="0.25">
      <c r="A14" t="s">
        <v>47</v>
      </c>
      <c r="B14" t="s">
        <v>103</v>
      </c>
      <c r="Q14" t="s">
        <v>47</v>
      </c>
      <c r="R14" t="s">
        <v>121</v>
      </c>
    </row>
    <row r="15" spans="1:18" x14ac:dyDescent="0.25">
      <c r="A15" t="s">
        <v>18</v>
      </c>
      <c r="B15" t="s">
        <v>19</v>
      </c>
      <c r="Q15" t="s">
        <v>18</v>
      </c>
      <c r="R15" t="s">
        <v>19</v>
      </c>
    </row>
    <row r="16" spans="1:18" x14ac:dyDescent="0.25">
      <c r="A16" t="s">
        <v>20</v>
      </c>
      <c r="B16" t="s">
        <v>21</v>
      </c>
      <c r="Q16" t="s">
        <v>20</v>
      </c>
      <c r="R16" t="s">
        <v>21</v>
      </c>
    </row>
    <row r="17" spans="1:27" x14ac:dyDescent="0.25">
      <c r="A17" t="s">
        <v>22</v>
      </c>
      <c r="B17" t="s">
        <v>23</v>
      </c>
      <c r="Q17" t="s">
        <v>22</v>
      </c>
      <c r="R17" t="s">
        <v>23</v>
      </c>
    </row>
    <row r="18" spans="1:27" x14ac:dyDescent="0.25">
      <c r="A18" t="s">
        <v>24</v>
      </c>
      <c r="B18" t="s">
        <v>25</v>
      </c>
      <c r="Q18" t="s">
        <v>24</v>
      </c>
      <c r="R18" t="s">
        <v>25</v>
      </c>
    </row>
    <row r="19" spans="1:27" x14ac:dyDescent="0.25">
      <c r="A19" t="s">
        <v>26</v>
      </c>
      <c r="B19" t="s">
        <v>25</v>
      </c>
      <c r="Q19" t="s">
        <v>26</v>
      </c>
      <c r="R19" t="s">
        <v>25</v>
      </c>
    </row>
    <row r="20" spans="1:27" x14ac:dyDescent="0.25">
      <c r="A20" t="s">
        <v>27</v>
      </c>
      <c r="B20" t="s">
        <v>25</v>
      </c>
      <c r="Q20" t="s">
        <v>27</v>
      </c>
      <c r="R20" t="s">
        <v>25</v>
      </c>
    </row>
    <row r="21" spans="1:27" x14ac:dyDescent="0.25">
      <c r="A21" t="s">
        <v>28</v>
      </c>
      <c r="B21" t="s">
        <v>25</v>
      </c>
      <c r="Q21" t="s">
        <v>28</v>
      </c>
      <c r="R21" t="s">
        <v>25</v>
      </c>
    </row>
    <row r="22" spans="1:27" x14ac:dyDescent="0.25">
      <c r="A22" t="s">
        <v>29</v>
      </c>
      <c r="B22" t="s">
        <v>30</v>
      </c>
      <c r="Q22" t="s">
        <v>29</v>
      </c>
      <c r="R22" t="s">
        <v>30</v>
      </c>
    </row>
    <row r="23" spans="1:27" x14ac:dyDescent="0.25">
      <c r="A23" t="s">
        <v>31</v>
      </c>
      <c r="B23" t="s">
        <v>32</v>
      </c>
      <c r="Q23" t="s">
        <v>31</v>
      </c>
      <c r="R23" t="s">
        <v>32</v>
      </c>
    </row>
    <row r="25" spans="1:27" x14ac:dyDescent="0.25">
      <c r="A25" t="s">
        <v>30</v>
      </c>
      <c r="B25" t="s">
        <v>33</v>
      </c>
      <c r="C25" t="s">
        <v>104</v>
      </c>
      <c r="D25" t="s">
        <v>105</v>
      </c>
      <c r="E25" t="s">
        <v>106</v>
      </c>
      <c r="F25" t="s">
        <v>107</v>
      </c>
      <c r="G25" t="s">
        <v>108</v>
      </c>
      <c r="H25" t="s">
        <v>109</v>
      </c>
      <c r="I25" t="s">
        <v>110</v>
      </c>
      <c r="J25" t="s">
        <v>111</v>
      </c>
      <c r="K25" t="s">
        <v>112</v>
      </c>
      <c r="Q25" t="s">
        <v>30</v>
      </c>
      <c r="R25" t="s">
        <v>33</v>
      </c>
      <c r="S25" t="s">
        <v>122</v>
      </c>
      <c r="T25" t="s">
        <v>123</v>
      </c>
      <c r="U25" t="s">
        <v>124</v>
      </c>
      <c r="V25" t="s">
        <v>125</v>
      </c>
      <c r="W25" t="s">
        <v>126</v>
      </c>
      <c r="X25" t="s">
        <v>127</v>
      </c>
      <c r="Y25" t="s">
        <v>128</v>
      </c>
      <c r="Z25" t="s">
        <v>129</v>
      </c>
      <c r="AA25" t="s">
        <v>130</v>
      </c>
    </row>
    <row r="26" spans="1:27" x14ac:dyDescent="0.25">
      <c r="A26" t="s">
        <v>41</v>
      </c>
      <c r="B26" t="s">
        <v>42</v>
      </c>
      <c r="C26">
        <v>0.68546134999999997</v>
      </c>
      <c r="D26">
        <v>0.78432634999999995</v>
      </c>
      <c r="E26">
        <v>0.74842640999999999</v>
      </c>
      <c r="F26">
        <v>0.86423130000000004</v>
      </c>
      <c r="G26">
        <v>1.5572368000000001</v>
      </c>
      <c r="H26">
        <v>1.3946603</v>
      </c>
      <c r="I26">
        <v>0.25656401000000001</v>
      </c>
      <c r="J26">
        <v>1.1798268000000001</v>
      </c>
      <c r="K26">
        <v>0.62733684999999995</v>
      </c>
      <c r="Q26" t="s">
        <v>41</v>
      </c>
      <c r="R26" t="s">
        <v>42</v>
      </c>
      <c r="S26">
        <v>7.1094907999999997</v>
      </c>
      <c r="T26">
        <v>7.9891382000000002</v>
      </c>
      <c r="U26">
        <v>6.9051178999999996</v>
      </c>
      <c r="V26">
        <v>8.8894569000000008</v>
      </c>
      <c r="W26">
        <v>4.4437490000000004</v>
      </c>
      <c r="X26">
        <v>8.7874602999999993</v>
      </c>
      <c r="Y26">
        <v>6.1090634000000001</v>
      </c>
      <c r="Z26">
        <v>5.7265407000000002</v>
      </c>
      <c r="AA26">
        <v>6.6520478000000001</v>
      </c>
    </row>
    <row r="27" spans="1:27" x14ac:dyDescent="0.25">
      <c r="A27" t="s">
        <v>43</v>
      </c>
      <c r="B27" t="s">
        <v>42</v>
      </c>
      <c r="C27">
        <v>0.36748930000000002</v>
      </c>
      <c r="D27">
        <v>0.43619324999999998</v>
      </c>
      <c r="E27">
        <v>0.41632524999999998</v>
      </c>
      <c r="F27">
        <v>0.48496919999999999</v>
      </c>
      <c r="G27">
        <v>0.38841985000000001</v>
      </c>
      <c r="H27">
        <v>0.38025175</v>
      </c>
      <c r="I27">
        <v>7.0839577000000001E-2</v>
      </c>
      <c r="J27">
        <v>0.30901614999999999</v>
      </c>
      <c r="K27">
        <v>0.35410137000000003</v>
      </c>
      <c r="Q27" t="s">
        <v>43</v>
      </c>
      <c r="R27" t="s">
        <v>42</v>
      </c>
      <c r="S27">
        <v>4.7569452999999999</v>
      </c>
      <c r="T27">
        <v>5.2675786999999996</v>
      </c>
      <c r="U27">
        <v>4.6237357000000001</v>
      </c>
      <c r="V27">
        <v>6.1760221</v>
      </c>
      <c r="W27">
        <v>1.3602905999999999</v>
      </c>
      <c r="X27">
        <v>6.1062570999999997</v>
      </c>
      <c r="Y27">
        <v>4.1227093000000004</v>
      </c>
      <c r="Z27">
        <v>3.8515345999999999</v>
      </c>
      <c r="AA27">
        <v>4.4545519999999996</v>
      </c>
    </row>
    <row r="28" spans="1:27" x14ac:dyDescent="0.25">
      <c r="A28" t="s">
        <v>44</v>
      </c>
      <c r="B28" t="s">
        <v>42</v>
      </c>
      <c r="C28">
        <v>0.31797204000000001</v>
      </c>
      <c r="D28">
        <v>0.34813309999999997</v>
      </c>
      <c r="E28">
        <v>0.33210116000000001</v>
      </c>
      <c r="F28">
        <v>0.37926210999999999</v>
      </c>
      <c r="G28">
        <v>1.168817</v>
      </c>
      <c r="H28">
        <v>1.0144086000000001</v>
      </c>
      <c r="I28">
        <v>0.18572443999999999</v>
      </c>
      <c r="J28">
        <v>0.87081063999999997</v>
      </c>
      <c r="K28">
        <v>0.27323547999999998</v>
      </c>
      <c r="Q28" t="s">
        <v>44</v>
      </c>
      <c r="R28" t="s">
        <v>42</v>
      </c>
      <c r="S28">
        <v>2.3525455000000002</v>
      </c>
      <c r="T28">
        <v>2.7215595000000001</v>
      </c>
      <c r="U28">
        <v>2.2813821999999999</v>
      </c>
      <c r="V28">
        <v>2.7134349000000002</v>
      </c>
      <c r="W28">
        <v>3.0834584</v>
      </c>
      <c r="X28">
        <v>2.6812032000000001</v>
      </c>
      <c r="Y28">
        <v>1.9863542000000001</v>
      </c>
      <c r="Z28">
        <v>1.8750061</v>
      </c>
      <c r="AA28">
        <v>2.1974958999999998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F6E1D-BB0E-4AF1-8D89-E81FDD81ED90}">
  <dimension ref="A2:X20"/>
  <sheetViews>
    <sheetView workbookViewId="0">
      <selection activeCell="U2" sqref="U2:X19"/>
    </sheetView>
  </sheetViews>
  <sheetFormatPr defaultRowHeight="15" x14ac:dyDescent="0.25"/>
  <cols>
    <col min="1" max="1" width="10.5703125" customWidth="1"/>
  </cols>
  <sheetData>
    <row r="2" spans="1:24" x14ac:dyDescent="0.25">
      <c r="A2" t="s">
        <v>0</v>
      </c>
      <c r="B2" t="s">
        <v>1</v>
      </c>
      <c r="K2" t="s">
        <v>0</v>
      </c>
      <c r="L2" t="s">
        <v>1</v>
      </c>
      <c r="U2" t="s">
        <v>0</v>
      </c>
      <c r="V2" t="s">
        <v>1</v>
      </c>
    </row>
    <row r="3" spans="1:24" x14ac:dyDescent="0.25">
      <c r="A3" t="s">
        <v>2</v>
      </c>
      <c r="B3" t="s">
        <v>3</v>
      </c>
      <c r="K3" t="s">
        <v>2</v>
      </c>
      <c r="L3" t="s">
        <v>3</v>
      </c>
      <c r="U3" t="s">
        <v>2</v>
      </c>
      <c r="V3" t="s">
        <v>3</v>
      </c>
    </row>
    <row r="4" spans="1:24" x14ac:dyDescent="0.25">
      <c r="A4" t="s">
        <v>4</v>
      </c>
      <c r="B4" t="s">
        <v>56</v>
      </c>
      <c r="K4" t="s">
        <v>4</v>
      </c>
      <c r="L4" t="s">
        <v>58</v>
      </c>
      <c r="U4" t="s">
        <v>4</v>
      </c>
      <c r="V4" t="s">
        <v>60</v>
      </c>
    </row>
    <row r="5" spans="1:24" x14ac:dyDescent="0.25">
      <c r="A5" t="s">
        <v>6</v>
      </c>
      <c r="B5" t="s">
        <v>1018</v>
      </c>
      <c r="K5" t="s">
        <v>6</v>
      </c>
      <c r="L5" t="s">
        <v>1022</v>
      </c>
      <c r="U5" t="s">
        <v>6</v>
      </c>
      <c r="V5" t="s">
        <v>1026</v>
      </c>
    </row>
    <row r="6" spans="1:24" x14ac:dyDescent="0.25">
      <c r="A6" t="s">
        <v>8</v>
      </c>
      <c r="B6" t="s">
        <v>1019</v>
      </c>
      <c r="K6" t="s">
        <v>8</v>
      </c>
      <c r="L6" t="s">
        <v>1023</v>
      </c>
      <c r="U6" t="s">
        <v>18</v>
      </c>
      <c r="V6" t="s">
        <v>19</v>
      </c>
    </row>
    <row r="7" spans="1:24" x14ac:dyDescent="0.25">
      <c r="A7" t="s">
        <v>18</v>
      </c>
      <c r="B7" t="s">
        <v>19</v>
      </c>
      <c r="K7" t="s">
        <v>18</v>
      </c>
      <c r="L7" t="s">
        <v>19</v>
      </c>
      <c r="U7" t="s">
        <v>20</v>
      </c>
      <c r="V7" t="s">
        <v>21</v>
      </c>
    </row>
    <row r="8" spans="1:24" x14ac:dyDescent="0.25">
      <c r="A8" t="s">
        <v>20</v>
      </c>
      <c r="B8" t="s">
        <v>21</v>
      </c>
      <c r="K8" t="s">
        <v>20</v>
      </c>
      <c r="L8" t="s">
        <v>21</v>
      </c>
      <c r="U8" t="s">
        <v>22</v>
      </c>
      <c r="V8" t="s">
        <v>23</v>
      </c>
    </row>
    <row r="9" spans="1:24" x14ac:dyDescent="0.25">
      <c r="A9" t="s">
        <v>22</v>
      </c>
      <c r="B9" t="s">
        <v>23</v>
      </c>
      <c r="K9" t="s">
        <v>22</v>
      </c>
      <c r="L9" t="s">
        <v>23</v>
      </c>
      <c r="U9" t="s">
        <v>24</v>
      </c>
      <c r="V9" t="s">
        <v>25</v>
      </c>
    </row>
    <row r="10" spans="1:24" x14ac:dyDescent="0.25">
      <c r="A10" t="s">
        <v>24</v>
      </c>
      <c r="B10" t="s">
        <v>25</v>
      </c>
      <c r="K10" t="s">
        <v>24</v>
      </c>
      <c r="L10" t="s">
        <v>25</v>
      </c>
      <c r="U10" t="s">
        <v>26</v>
      </c>
      <c r="V10" t="s">
        <v>25</v>
      </c>
    </row>
    <row r="11" spans="1:24" x14ac:dyDescent="0.25">
      <c r="A11" t="s">
        <v>26</v>
      </c>
      <c r="B11" t="s">
        <v>25</v>
      </c>
      <c r="K11" t="s">
        <v>26</v>
      </c>
      <c r="L11" t="s">
        <v>25</v>
      </c>
      <c r="U11" t="s">
        <v>27</v>
      </c>
      <c r="V11" t="s">
        <v>25</v>
      </c>
    </row>
    <row r="12" spans="1:24" x14ac:dyDescent="0.25">
      <c r="A12" t="s">
        <v>27</v>
      </c>
      <c r="B12" t="s">
        <v>25</v>
      </c>
      <c r="K12" t="s">
        <v>27</v>
      </c>
      <c r="L12" t="s">
        <v>25</v>
      </c>
      <c r="U12" t="s">
        <v>28</v>
      </c>
      <c r="V12" t="s">
        <v>25</v>
      </c>
    </row>
    <row r="13" spans="1:24" x14ac:dyDescent="0.25">
      <c r="A13" t="s">
        <v>28</v>
      </c>
      <c r="B13" t="s">
        <v>25</v>
      </c>
      <c r="K13" t="s">
        <v>28</v>
      </c>
      <c r="L13" t="s">
        <v>25</v>
      </c>
      <c r="U13" t="s">
        <v>29</v>
      </c>
      <c r="V13" t="s">
        <v>30</v>
      </c>
    </row>
    <row r="14" spans="1:24" x14ac:dyDescent="0.25">
      <c r="A14" t="s">
        <v>29</v>
      </c>
      <c r="B14" t="s">
        <v>30</v>
      </c>
      <c r="K14" t="s">
        <v>29</v>
      </c>
      <c r="L14" t="s">
        <v>30</v>
      </c>
      <c r="U14" t="s">
        <v>31</v>
      </c>
      <c r="V14" t="s">
        <v>32</v>
      </c>
    </row>
    <row r="15" spans="1:24" x14ac:dyDescent="0.25">
      <c r="A15" t="s">
        <v>31</v>
      </c>
      <c r="B15" t="s">
        <v>32</v>
      </c>
      <c r="K15" t="s">
        <v>31</v>
      </c>
      <c r="L15" t="s">
        <v>32</v>
      </c>
    </row>
    <row r="16" spans="1:24" x14ac:dyDescent="0.25">
      <c r="U16" t="s">
        <v>30</v>
      </c>
      <c r="V16" t="s">
        <v>33</v>
      </c>
      <c r="W16" t="s">
        <v>68</v>
      </c>
      <c r="X16" t="s">
        <v>1027</v>
      </c>
    </row>
    <row r="17" spans="1:24" x14ac:dyDescent="0.25">
      <c r="A17" t="s">
        <v>30</v>
      </c>
      <c r="B17" t="s">
        <v>33</v>
      </c>
      <c r="C17" t="s">
        <v>66</v>
      </c>
      <c r="D17" t="s">
        <v>1020</v>
      </c>
      <c r="E17" t="s">
        <v>1021</v>
      </c>
      <c r="K17" t="s">
        <v>30</v>
      </c>
      <c r="L17" t="s">
        <v>33</v>
      </c>
      <c r="M17" t="s">
        <v>67</v>
      </c>
      <c r="N17" t="s">
        <v>1024</v>
      </c>
      <c r="O17" t="s">
        <v>1025</v>
      </c>
      <c r="U17" t="s">
        <v>41</v>
      </c>
      <c r="V17" t="s">
        <v>42</v>
      </c>
      <c r="W17">
        <v>26.819091</v>
      </c>
      <c r="X17">
        <v>60.489479000000003</v>
      </c>
    </row>
    <row r="18" spans="1:24" x14ac:dyDescent="0.25">
      <c r="A18" t="s">
        <v>41</v>
      </c>
      <c r="B18" t="s">
        <v>42</v>
      </c>
      <c r="C18">
        <v>0.18359429999999999</v>
      </c>
      <c r="D18">
        <v>4.3910913999999996</v>
      </c>
      <c r="E18">
        <v>0.38972752999999999</v>
      </c>
      <c r="K18" t="s">
        <v>41</v>
      </c>
      <c r="L18" t="s">
        <v>42</v>
      </c>
      <c r="M18">
        <v>2.8192629999999999</v>
      </c>
      <c r="N18">
        <v>3.2250461000000001</v>
      </c>
      <c r="O18">
        <v>2.3699930999999999</v>
      </c>
      <c r="U18" t="s">
        <v>43</v>
      </c>
      <c r="V18" t="s">
        <v>42</v>
      </c>
      <c r="W18">
        <v>13.106153000000001</v>
      </c>
      <c r="X18">
        <v>30.310210999999999</v>
      </c>
    </row>
    <row r="19" spans="1:24" x14ac:dyDescent="0.25">
      <c r="A19" t="s">
        <v>43</v>
      </c>
      <c r="B19" t="s">
        <v>42</v>
      </c>
      <c r="C19">
        <v>-4.8742675999999999E-2</v>
      </c>
      <c r="D19">
        <v>2.4379469999999999</v>
      </c>
      <c r="E19">
        <v>5.6249017999999998E-2</v>
      </c>
      <c r="K19" t="s">
        <v>43</v>
      </c>
      <c r="L19" t="s">
        <v>42</v>
      </c>
      <c r="M19">
        <v>1.4873098</v>
      </c>
      <c r="N19">
        <v>0.14392658</v>
      </c>
      <c r="O19">
        <v>1.1943668000000001</v>
      </c>
      <c r="U19" t="s">
        <v>44</v>
      </c>
      <c r="V19" t="s">
        <v>42</v>
      </c>
      <c r="W19">
        <v>13.712937999999999</v>
      </c>
      <c r="X19">
        <v>30.179268</v>
      </c>
    </row>
    <row r="20" spans="1:24" x14ac:dyDescent="0.25">
      <c r="A20" t="s">
        <v>44</v>
      </c>
      <c r="B20" t="s">
        <v>42</v>
      </c>
      <c r="C20">
        <v>0.23233697</v>
      </c>
      <c r="D20">
        <v>1.9531442999999999</v>
      </c>
      <c r="E20">
        <v>0.33347851000000001</v>
      </c>
      <c r="K20" t="s">
        <v>44</v>
      </c>
      <c r="L20" t="s">
        <v>42</v>
      </c>
      <c r="M20">
        <v>1.3319532000000001</v>
      </c>
      <c r="N20">
        <v>3.0811196000000001</v>
      </c>
      <c r="O20">
        <v>1.1756264000000001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994F4-824A-4F71-A5D5-BE9319DBCD9E}">
  <dimension ref="A1:EP93"/>
  <sheetViews>
    <sheetView topLeftCell="BN1" workbookViewId="0">
      <selection activeCell="BV8" sqref="BV8"/>
    </sheetView>
  </sheetViews>
  <sheetFormatPr defaultRowHeight="15" x14ac:dyDescent="0.25"/>
  <sheetData>
    <row r="1" spans="1:79" x14ac:dyDescent="0.25">
      <c r="A1" t="s">
        <v>131</v>
      </c>
    </row>
    <row r="3" spans="1:79" x14ac:dyDescent="0.25">
      <c r="A3" t="s">
        <v>0</v>
      </c>
      <c r="B3" t="s">
        <v>1</v>
      </c>
    </row>
    <row r="4" spans="1:79" x14ac:dyDescent="0.25">
      <c r="A4" t="s">
        <v>2</v>
      </c>
      <c r="B4" t="s">
        <v>3</v>
      </c>
    </row>
    <row r="5" spans="1:79" x14ac:dyDescent="0.25">
      <c r="A5" t="s">
        <v>4</v>
      </c>
      <c r="B5" t="s">
        <v>133</v>
      </c>
    </row>
    <row r="6" spans="1:79" x14ac:dyDescent="0.25">
      <c r="A6" t="s">
        <v>6</v>
      </c>
      <c r="B6" t="s">
        <v>134</v>
      </c>
    </row>
    <row r="7" spans="1:79" x14ac:dyDescent="0.25">
      <c r="A7" t="s">
        <v>8</v>
      </c>
      <c r="B7" t="s">
        <v>135</v>
      </c>
    </row>
    <row r="8" spans="1:79" x14ac:dyDescent="0.25">
      <c r="A8" t="s">
        <v>10</v>
      </c>
      <c r="B8" t="s">
        <v>136</v>
      </c>
    </row>
    <row r="9" spans="1:79" x14ac:dyDescent="0.25">
      <c r="A9" t="s">
        <v>12</v>
      </c>
      <c r="B9" t="s">
        <v>137</v>
      </c>
    </row>
    <row r="10" spans="1:79" x14ac:dyDescent="0.25">
      <c r="A10" t="s">
        <v>14</v>
      </c>
      <c r="B10" t="s">
        <v>138</v>
      </c>
    </row>
    <row r="11" spans="1:79" x14ac:dyDescent="0.25">
      <c r="A11" t="s">
        <v>16</v>
      </c>
      <c r="B11" t="s">
        <v>139</v>
      </c>
      <c r="BZ11" t="s">
        <v>0</v>
      </c>
      <c r="CA11" t="s">
        <v>1</v>
      </c>
    </row>
    <row r="12" spans="1:79" x14ac:dyDescent="0.25">
      <c r="A12" t="s">
        <v>45</v>
      </c>
      <c r="B12" t="s">
        <v>140</v>
      </c>
      <c r="BZ12" t="s">
        <v>2</v>
      </c>
      <c r="CA12" t="s">
        <v>3</v>
      </c>
    </row>
    <row r="13" spans="1:79" x14ac:dyDescent="0.25">
      <c r="A13" t="s">
        <v>47</v>
      </c>
      <c r="B13" t="s">
        <v>141</v>
      </c>
      <c r="BZ13" t="s">
        <v>4</v>
      </c>
      <c r="CA13" t="s">
        <v>439</v>
      </c>
    </row>
    <row r="14" spans="1:79" x14ac:dyDescent="0.25">
      <c r="A14" t="s">
        <v>49</v>
      </c>
      <c r="B14" t="s">
        <v>142</v>
      </c>
      <c r="BZ14" t="s">
        <v>6</v>
      </c>
      <c r="CA14" t="s">
        <v>440</v>
      </c>
    </row>
    <row r="15" spans="1:79" x14ac:dyDescent="0.25">
      <c r="A15" t="s">
        <v>51</v>
      </c>
      <c r="B15" t="s">
        <v>143</v>
      </c>
      <c r="BZ15" t="s">
        <v>8</v>
      </c>
      <c r="CA15" t="s">
        <v>441</v>
      </c>
    </row>
    <row r="16" spans="1:79" x14ac:dyDescent="0.25">
      <c r="A16" t="s">
        <v>53</v>
      </c>
      <c r="B16" t="s">
        <v>144</v>
      </c>
      <c r="BZ16" t="s">
        <v>10</v>
      </c>
      <c r="CA16" t="s">
        <v>442</v>
      </c>
    </row>
    <row r="17" spans="1:79" x14ac:dyDescent="0.25">
      <c r="A17" t="s">
        <v>55</v>
      </c>
      <c r="B17" t="s">
        <v>145</v>
      </c>
      <c r="BZ17" t="s">
        <v>12</v>
      </c>
      <c r="CA17" t="s">
        <v>443</v>
      </c>
    </row>
    <row r="18" spans="1:79" x14ac:dyDescent="0.25">
      <c r="A18" t="s">
        <v>57</v>
      </c>
      <c r="B18" t="s">
        <v>146</v>
      </c>
      <c r="BZ18" t="s">
        <v>14</v>
      </c>
      <c r="CA18" t="s">
        <v>444</v>
      </c>
    </row>
    <row r="19" spans="1:79" x14ac:dyDescent="0.25">
      <c r="A19" t="s">
        <v>59</v>
      </c>
      <c r="B19" t="s">
        <v>147</v>
      </c>
      <c r="BZ19" t="s">
        <v>16</v>
      </c>
      <c r="CA19" t="s">
        <v>445</v>
      </c>
    </row>
    <row r="20" spans="1:79" x14ac:dyDescent="0.25">
      <c r="A20" t="s">
        <v>148</v>
      </c>
      <c r="B20" t="s">
        <v>149</v>
      </c>
      <c r="BZ20" t="s">
        <v>45</v>
      </c>
      <c r="CA20" t="s">
        <v>446</v>
      </c>
    </row>
    <row r="21" spans="1:79" x14ac:dyDescent="0.25">
      <c r="A21" t="s">
        <v>150</v>
      </c>
      <c r="B21" t="s">
        <v>151</v>
      </c>
      <c r="BZ21" t="s">
        <v>47</v>
      </c>
      <c r="CA21" t="s">
        <v>447</v>
      </c>
    </row>
    <row r="22" spans="1:79" x14ac:dyDescent="0.25">
      <c r="A22" t="s">
        <v>152</v>
      </c>
      <c r="B22" t="s">
        <v>153</v>
      </c>
      <c r="BZ22" t="s">
        <v>49</v>
      </c>
      <c r="CA22" t="s">
        <v>448</v>
      </c>
    </row>
    <row r="23" spans="1:79" x14ac:dyDescent="0.25">
      <c r="A23" t="s">
        <v>154</v>
      </c>
      <c r="B23" t="s">
        <v>155</v>
      </c>
      <c r="BZ23" t="s">
        <v>51</v>
      </c>
      <c r="CA23" t="s">
        <v>449</v>
      </c>
    </row>
    <row r="24" spans="1:79" x14ac:dyDescent="0.25">
      <c r="A24" t="s">
        <v>156</v>
      </c>
      <c r="B24" t="s">
        <v>157</v>
      </c>
      <c r="BZ24" t="s">
        <v>53</v>
      </c>
      <c r="CA24" t="s">
        <v>450</v>
      </c>
    </row>
    <row r="25" spans="1:79" x14ac:dyDescent="0.25">
      <c r="A25" t="s">
        <v>158</v>
      </c>
      <c r="B25" t="s">
        <v>159</v>
      </c>
      <c r="BZ25" t="s">
        <v>55</v>
      </c>
      <c r="CA25" t="s">
        <v>451</v>
      </c>
    </row>
    <row r="26" spans="1:79" x14ac:dyDescent="0.25">
      <c r="A26" t="s">
        <v>160</v>
      </c>
      <c r="B26" t="s">
        <v>161</v>
      </c>
      <c r="BZ26" t="s">
        <v>57</v>
      </c>
      <c r="CA26" t="s">
        <v>452</v>
      </c>
    </row>
    <row r="27" spans="1:79" x14ac:dyDescent="0.25">
      <c r="A27" t="s">
        <v>162</v>
      </c>
      <c r="B27" t="s">
        <v>163</v>
      </c>
      <c r="BZ27" t="s">
        <v>59</v>
      </c>
      <c r="CA27" t="s">
        <v>453</v>
      </c>
    </row>
    <row r="28" spans="1:79" x14ac:dyDescent="0.25">
      <c r="A28" t="s">
        <v>164</v>
      </c>
      <c r="B28" t="s">
        <v>165</v>
      </c>
      <c r="BZ28" t="s">
        <v>148</v>
      </c>
      <c r="CA28" t="s">
        <v>454</v>
      </c>
    </row>
    <row r="29" spans="1:79" x14ac:dyDescent="0.25">
      <c r="A29" t="s">
        <v>166</v>
      </c>
      <c r="B29" t="s">
        <v>167</v>
      </c>
      <c r="BZ29" t="s">
        <v>150</v>
      </c>
      <c r="CA29" t="s">
        <v>455</v>
      </c>
    </row>
    <row r="30" spans="1:79" x14ac:dyDescent="0.25">
      <c r="A30" t="s">
        <v>168</v>
      </c>
      <c r="B30" t="s">
        <v>169</v>
      </c>
      <c r="BZ30" t="s">
        <v>152</v>
      </c>
      <c r="CA30" t="s">
        <v>456</v>
      </c>
    </row>
    <row r="31" spans="1:79" x14ac:dyDescent="0.25">
      <c r="A31" t="s">
        <v>170</v>
      </c>
      <c r="B31" t="s">
        <v>171</v>
      </c>
      <c r="BZ31" t="s">
        <v>154</v>
      </c>
      <c r="CA31" t="s">
        <v>457</v>
      </c>
    </row>
    <row r="32" spans="1:79" x14ac:dyDescent="0.25">
      <c r="A32" t="s">
        <v>172</v>
      </c>
      <c r="B32" t="s">
        <v>173</v>
      </c>
      <c r="BZ32" t="s">
        <v>156</v>
      </c>
      <c r="CA32" t="s">
        <v>458</v>
      </c>
    </row>
    <row r="33" spans="1:79" x14ac:dyDescent="0.25">
      <c r="A33" t="s">
        <v>174</v>
      </c>
      <c r="B33" t="s">
        <v>175</v>
      </c>
      <c r="BZ33" t="s">
        <v>158</v>
      </c>
      <c r="CA33" t="s">
        <v>459</v>
      </c>
    </row>
    <row r="34" spans="1:79" x14ac:dyDescent="0.25">
      <c r="A34" t="s">
        <v>176</v>
      </c>
      <c r="B34" t="s">
        <v>177</v>
      </c>
      <c r="BZ34" t="s">
        <v>160</v>
      </c>
      <c r="CA34" t="s">
        <v>460</v>
      </c>
    </row>
    <row r="35" spans="1:79" x14ac:dyDescent="0.25">
      <c r="A35" t="s">
        <v>178</v>
      </c>
      <c r="B35" t="s">
        <v>179</v>
      </c>
      <c r="BZ35" t="s">
        <v>162</v>
      </c>
      <c r="CA35" t="s">
        <v>461</v>
      </c>
    </row>
    <row r="36" spans="1:79" x14ac:dyDescent="0.25">
      <c r="A36" t="s">
        <v>180</v>
      </c>
      <c r="B36" t="s">
        <v>181</v>
      </c>
      <c r="BZ36" t="s">
        <v>164</v>
      </c>
      <c r="CA36" t="s">
        <v>462</v>
      </c>
    </row>
    <row r="37" spans="1:79" x14ac:dyDescent="0.25">
      <c r="A37" t="s">
        <v>182</v>
      </c>
      <c r="B37" t="s">
        <v>183</v>
      </c>
      <c r="BZ37" t="s">
        <v>166</v>
      </c>
      <c r="CA37" t="s">
        <v>463</v>
      </c>
    </row>
    <row r="38" spans="1:79" x14ac:dyDescent="0.25">
      <c r="A38" t="s">
        <v>184</v>
      </c>
      <c r="B38" t="s">
        <v>185</v>
      </c>
      <c r="BZ38" t="s">
        <v>168</v>
      </c>
      <c r="CA38" t="s">
        <v>464</v>
      </c>
    </row>
    <row r="39" spans="1:79" x14ac:dyDescent="0.25">
      <c r="A39" t="s">
        <v>186</v>
      </c>
      <c r="B39" t="s">
        <v>187</v>
      </c>
      <c r="BZ39" t="s">
        <v>170</v>
      </c>
      <c r="CA39" t="s">
        <v>465</v>
      </c>
    </row>
    <row r="40" spans="1:79" x14ac:dyDescent="0.25">
      <c r="A40" t="s">
        <v>188</v>
      </c>
      <c r="B40" t="s">
        <v>189</v>
      </c>
      <c r="BZ40" t="s">
        <v>172</v>
      </c>
      <c r="CA40" t="s">
        <v>466</v>
      </c>
    </row>
    <row r="41" spans="1:79" x14ac:dyDescent="0.25">
      <c r="A41" t="s">
        <v>190</v>
      </c>
      <c r="B41" t="s">
        <v>191</v>
      </c>
      <c r="BZ41" t="s">
        <v>174</v>
      </c>
      <c r="CA41" t="s">
        <v>467</v>
      </c>
    </row>
    <row r="42" spans="1:79" x14ac:dyDescent="0.25">
      <c r="A42" t="s">
        <v>192</v>
      </c>
      <c r="B42" t="s">
        <v>193</v>
      </c>
      <c r="BZ42" t="s">
        <v>176</v>
      </c>
      <c r="CA42" t="s">
        <v>468</v>
      </c>
    </row>
    <row r="43" spans="1:79" x14ac:dyDescent="0.25">
      <c r="A43" t="s">
        <v>194</v>
      </c>
      <c r="B43" t="s">
        <v>195</v>
      </c>
      <c r="BZ43" t="s">
        <v>178</v>
      </c>
      <c r="CA43" t="s">
        <v>469</v>
      </c>
    </row>
    <row r="44" spans="1:79" x14ac:dyDescent="0.25">
      <c r="A44" t="s">
        <v>196</v>
      </c>
      <c r="B44" t="s">
        <v>197</v>
      </c>
      <c r="BZ44" t="s">
        <v>180</v>
      </c>
      <c r="CA44" t="s">
        <v>470</v>
      </c>
    </row>
    <row r="45" spans="1:79" x14ac:dyDescent="0.25">
      <c r="A45" t="s">
        <v>198</v>
      </c>
      <c r="B45" t="s">
        <v>199</v>
      </c>
      <c r="BZ45" t="s">
        <v>182</v>
      </c>
      <c r="CA45" t="s">
        <v>471</v>
      </c>
    </row>
    <row r="46" spans="1:79" x14ac:dyDescent="0.25">
      <c r="A46" t="s">
        <v>200</v>
      </c>
      <c r="B46" t="s">
        <v>201</v>
      </c>
      <c r="BZ46" t="s">
        <v>184</v>
      </c>
      <c r="CA46" t="s">
        <v>472</v>
      </c>
    </row>
    <row r="47" spans="1:79" x14ac:dyDescent="0.25">
      <c r="A47" t="s">
        <v>202</v>
      </c>
      <c r="B47" t="s">
        <v>203</v>
      </c>
      <c r="BZ47" t="s">
        <v>186</v>
      </c>
      <c r="CA47" t="s">
        <v>473</v>
      </c>
    </row>
    <row r="48" spans="1:79" x14ac:dyDescent="0.25">
      <c r="A48" t="s">
        <v>204</v>
      </c>
      <c r="B48" t="s">
        <v>205</v>
      </c>
      <c r="BZ48" t="s">
        <v>188</v>
      </c>
      <c r="CA48" t="s">
        <v>474</v>
      </c>
    </row>
    <row r="49" spans="1:79" x14ac:dyDescent="0.25">
      <c r="A49" t="s">
        <v>206</v>
      </c>
      <c r="B49" t="s">
        <v>207</v>
      </c>
      <c r="BZ49" t="s">
        <v>190</v>
      </c>
      <c r="CA49" t="s">
        <v>475</v>
      </c>
    </row>
    <row r="50" spans="1:79" x14ac:dyDescent="0.25">
      <c r="A50" t="s">
        <v>208</v>
      </c>
      <c r="B50" t="s">
        <v>209</v>
      </c>
      <c r="BZ50" t="s">
        <v>192</v>
      </c>
      <c r="CA50" t="s">
        <v>476</v>
      </c>
    </row>
    <row r="51" spans="1:79" x14ac:dyDescent="0.25">
      <c r="A51" t="s">
        <v>210</v>
      </c>
      <c r="B51" t="s">
        <v>211</v>
      </c>
      <c r="BZ51" t="s">
        <v>194</v>
      </c>
      <c r="CA51" t="s">
        <v>477</v>
      </c>
    </row>
    <row r="52" spans="1:79" x14ac:dyDescent="0.25">
      <c r="A52" t="s">
        <v>212</v>
      </c>
      <c r="B52" t="s">
        <v>213</v>
      </c>
      <c r="BZ52" t="s">
        <v>196</v>
      </c>
      <c r="CA52" t="s">
        <v>478</v>
      </c>
    </row>
    <row r="53" spans="1:79" x14ac:dyDescent="0.25">
      <c r="A53" t="s">
        <v>214</v>
      </c>
      <c r="B53" t="s">
        <v>334</v>
      </c>
      <c r="BZ53" t="s">
        <v>198</v>
      </c>
      <c r="CA53" t="s">
        <v>479</v>
      </c>
    </row>
    <row r="54" spans="1:79" x14ac:dyDescent="0.25">
      <c r="A54" t="s">
        <v>216</v>
      </c>
      <c r="B54" t="s">
        <v>215</v>
      </c>
      <c r="BZ54" t="s">
        <v>200</v>
      </c>
      <c r="CA54" t="s">
        <v>480</v>
      </c>
    </row>
    <row r="55" spans="1:79" x14ac:dyDescent="0.25">
      <c r="A55" t="s">
        <v>218</v>
      </c>
      <c r="B55" t="s">
        <v>217</v>
      </c>
      <c r="BZ55" t="s">
        <v>202</v>
      </c>
      <c r="CA55" t="s">
        <v>481</v>
      </c>
    </row>
    <row r="56" spans="1:79" x14ac:dyDescent="0.25">
      <c r="A56" t="s">
        <v>220</v>
      </c>
      <c r="B56" t="s">
        <v>219</v>
      </c>
      <c r="BZ56" t="s">
        <v>204</v>
      </c>
      <c r="CA56" t="s">
        <v>482</v>
      </c>
    </row>
    <row r="57" spans="1:79" x14ac:dyDescent="0.25">
      <c r="A57" t="s">
        <v>222</v>
      </c>
      <c r="B57" t="s">
        <v>221</v>
      </c>
      <c r="BZ57" t="s">
        <v>206</v>
      </c>
      <c r="CA57" t="s">
        <v>483</v>
      </c>
    </row>
    <row r="58" spans="1:79" x14ac:dyDescent="0.25">
      <c r="A58" t="s">
        <v>224</v>
      </c>
      <c r="B58" t="s">
        <v>223</v>
      </c>
      <c r="BZ58" t="s">
        <v>208</v>
      </c>
      <c r="CA58" t="s">
        <v>484</v>
      </c>
    </row>
    <row r="59" spans="1:79" x14ac:dyDescent="0.25">
      <c r="A59" t="s">
        <v>226</v>
      </c>
      <c r="B59" t="s">
        <v>335</v>
      </c>
      <c r="BZ59" t="s">
        <v>210</v>
      </c>
      <c r="CA59" t="s">
        <v>485</v>
      </c>
    </row>
    <row r="60" spans="1:79" x14ac:dyDescent="0.25">
      <c r="A60" t="s">
        <v>228</v>
      </c>
      <c r="B60" t="s">
        <v>336</v>
      </c>
      <c r="BZ60" t="s">
        <v>212</v>
      </c>
      <c r="CA60" t="s">
        <v>486</v>
      </c>
    </row>
    <row r="61" spans="1:79" x14ac:dyDescent="0.25">
      <c r="A61" t="s">
        <v>230</v>
      </c>
      <c r="B61" t="s">
        <v>225</v>
      </c>
      <c r="BZ61" t="s">
        <v>214</v>
      </c>
      <c r="CA61" t="s">
        <v>487</v>
      </c>
    </row>
    <row r="62" spans="1:79" x14ac:dyDescent="0.25">
      <c r="A62" t="s">
        <v>337</v>
      </c>
      <c r="B62" t="s">
        <v>338</v>
      </c>
      <c r="BZ62" t="s">
        <v>216</v>
      </c>
      <c r="CA62" t="s">
        <v>488</v>
      </c>
    </row>
    <row r="63" spans="1:79" x14ac:dyDescent="0.25">
      <c r="A63" t="s">
        <v>339</v>
      </c>
      <c r="B63" t="s">
        <v>227</v>
      </c>
      <c r="BZ63" t="s">
        <v>218</v>
      </c>
      <c r="CA63" t="s">
        <v>489</v>
      </c>
    </row>
    <row r="64" spans="1:79" x14ac:dyDescent="0.25">
      <c r="A64" t="s">
        <v>340</v>
      </c>
      <c r="B64" t="s">
        <v>341</v>
      </c>
      <c r="BZ64" t="s">
        <v>220</v>
      </c>
      <c r="CA64" t="s">
        <v>490</v>
      </c>
    </row>
    <row r="65" spans="1:79" x14ac:dyDescent="0.25">
      <c r="A65" t="s">
        <v>342</v>
      </c>
      <c r="B65" t="s">
        <v>343</v>
      </c>
      <c r="BZ65" t="s">
        <v>222</v>
      </c>
      <c r="CA65" t="s">
        <v>491</v>
      </c>
    </row>
    <row r="66" spans="1:79" x14ac:dyDescent="0.25">
      <c r="A66" t="s">
        <v>344</v>
      </c>
      <c r="B66" t="s">
        <v>345</v>
      </c>
      <c r="BZ66" t="s">
        <v>224</v>
      </c>
      <c r="CA66" t="s">
        <v>492</v>
      </c>
    </row>
    <row r="67" spans="1:79" x14ac:dyDescent="0.25">
      <c r="A67" t="s">
        <v>346</v>
      </c>
      <c r="B67" t="s">
        <v>347</v>
      </c>
      <c r="BZ67" t="s">
        <v>226</v>
      </c>
      <c r="CA67" t="s">
        <v>493</v>
      </c>
    </row>
    <row r="68" spans="1:79" x14ac:dyDescent="0.25">
      <c r="A68" t="s">
        <v>348</v>
      </c>
      <c r="B68" t="s">
        <v>349</v>
      </c>
      <c r="BZ68" t="s">
        <v>228</v>
      </c>
      <c r="CA68" t="s">
        <v>494</v>
      </c>
    </row>
    <row r="69" spans="1:79" x14ac:dyDescent="0.25">
      <c r="A69" t="s">
        <v>350</v>
      </c>
      <c r="B69" t="s">
        <v>351</v>
      </c>
      <c r="BZ69" t="s">
        <v>230</v>
      </c>
      <c r="CA69" t="s">
        <v>495</v>
      </c>
    </row>
    <row r="70" spans="1:79" x14ac:dyDescent="0.25">
      <c r="A70" t="s">
        <v>352</v>
      </c>
      <c r="B70" t="s">
        <v>229</v>
      </c>
      <c r="BZ70" t="s">
        <v>337</v>
      </c>
      <c r="CA70" t="s">
        <v>496</v>
      </c>
    </row>
    <row r="71" spans="1:79" x14ac:dyDescent="0.25">
      <c r="A71" t="s">
        <v>353</v>
      </c>
      <c r="B71" t="s">
        <v>231</v>
      </c>
      <c r="BZ71" t="s">
        <v>339</v>
      </c>
      <c r="CA71" t="s">
        <v>497</v>
      </c>
    </row>
    <row r="72" spans="1:79" x14ac:dyDescent="0.25">
      <c r="A72" t="s">
        <v>354</v>
      </c>
      <c r="B72" t="s">
        <v>355</v>
      </c>
      <c r="O72" s="3"/>
      <c r="X72" s="3"/>
      <c r="Z72" s="3"/>
      <c r="AN72" s="3"/>
      <c r="AT72" s="3"/>
      <c r="AW72" s="3"/>
      <c r="BD72" s="3"/>
      <c r="BZ72" t="s">
        <v>340</v>
      </c>
      <c r="CA72" t="s">
        <v>498</v>
      </c>
    </row>
    <row r="73" spans="1:79" x14ac:dyDescent="0.25">
      <c r="A73" t="s">
        <v>356</v>
      </c>
      <c r="B73" t="s">
        <v>357</v>
      </c>
      <c r="BZ73" t="s">
        <v>342</v>
      </c>
      <c r="CA73" t="s">
        <v>499</v>
      </c>
    </row>
    <row r="74" spans="1:79" x14ac:dyDescent="0.25">
      <c r="A74" t="s">
        <v>358</v>
      </c>
      <c r="B74" t="s">
        <v>359</v>
      </c>
      <c r="BZ74" t="s">
        <v>344</v>
      </c>
      <c r="CA74" t="s">
        <v>500</v>
      </c>
    </row>
    <row r="75" spans="1:79" x14ac:dyDescent="0.25">
      <c r="A75" t="s">
        <v>360</v>
      </c>
      <c r="B75" t="s">
        <v>361</v>
      </c>
      <c r="BZ75" t="s">
        <v>346</v>
      </c>
      <c r="CA75" t="s">
        <v>501</v>
      </c>
    </row>
    <row r="76" spans="1:79" x14ac:dyDescent="0.25">
      <c r="A76" t="s">
        <v>362</v>
      </c>
      <c r="B76" t="s">
        <v>363</v>
      </c>
      <c r="BZ76" t="s">
        <v>348</v>
      </c>
      <c r="CA76" t="s">
        <v>502</v>
      </c>
    </row>
    <row r="77" spans="1:79" x14ac:dyDescent="0.25">
      <c r="A77" t="s">
        <v>364</v>
      </c>
      <c r="B77" t="s">
        <v>365</v>
      </c>
      <c r="BZ77" t="s">
        <v>350</v>
      </c>
      <c r="CA77" t="s">
        <v>503</v>
      </c>
    </row>
    <row r="78" spans="1:79" x14ac:dyDescent="0.25">
      <c r="A78" t="s">
        <v>366</v>
      </c>
      <c r="B78" t="s">
        <v>367</v>
      </c>
      <c r="BZ78" t="s">
        <v>352</v>
      </c>
      <c r="CA78" t="s">
        <v>504</v>
      </c>
    </row>
    <row r="79" spans="1:79" x14ac:dyDescent="0.25">
      <c r="A79" t="s">
        <v>368</v>
      </c>
      <c r="B79" t="s">
        <v>369</v>
      </c>
      <c r="BZ79" t="s">
        <v>353</v>
      </c>
      <c r="CA79" t="s">
        <v>505</v>
      </c>
    </row>
    <row r="80" spans="1:79" x14ac:dyDescent="0.25">
      <c r="A80" t="s">
        <v>18</v>
      </c>
      <c r="B80" t="s">
        <v>19</v>
      </c>
      <c r="BZ80" t="s">
        <v>18</v>
      </c>
      <c r="CA80" t="s">
        <v>19</v>
      </c>
    </row>
    <row r="81" spans="1:146" x14ac:dyDescent="0.25">
      <c r="A81" t="s">
        <v>20</v>
      </c>
      <c r="B81" t="s">
        <v>21</v>
      </c>
      <c r="BZ81" t="s">
        <v>20</v>
      </c>
      <c r="CA81" t="s">
        <v>21</v>
      </c>
    </row>
    <row r="82" spans="1:146" x14ac:dyDescent="0.25">
      <c r="A82" t="s">
        <v>22</v>
      </c>
      <c r="B82" t="s">
        <v>23</v>
      </c>
      <c r="BZ82" t="s">
        <v>22</v>
      </c>
      <c r="CA82" t="s">
        <v>23</v>
      </c>
    </row>
    <row r="83" spans="1:146" x14ac:dyDescent="0.25">
      <c r="A83" t="s">
        <v>24</v>
      </c>
      <c r="B83" t="s">
        <v>25</v>
      </c>
      <c r="BZ83" t="s">
        <v>24</v>
      </c>
      <c r="CA83" t="s">
        <v>25</v>
      </c>
    </row>
    <row r="84" spans="1:146" x14ac:dyDescent="0.25">
      <c r="A84" t="s">
        <v>26</v>
      </c>
      <c r="B84" t="s">
        <v>25</v>
      </c>
      <c r="BZ84" t="s">
        <v>26</v>
      </c>
      <c r="CA84" t="s">
        <v>25</v>
      </c>
    </row>
    <row r="85" spans="1:146" x14ac:dyDescent="0.25">
      <c r="A85" t="s">
        <v>27</v>
      </c>
      <c r="B85" t="s">
        <v>25</v>
      </c>
      <c r="BZ85" t="s">
        <v>27</v>
      </c>
      <c r="CA85" t="s">
        <v>25</v>
      </c>
    </row>
    <row r="86" spans="1:146" x14ac:dyDescent="0.25">
      <c r="A86" t="s">
        <v>28</v>
      </c>
      <c r="B86" t="s">
        <v>25</v>
      </c>
      <c r="BZ86" t="s">
        <v>28</v>
      </c>
      <c r="CA86" t="s">
        <v>25</v>
      </c>
    </row>
    <row r="87" spans="1:146" x14ac:dyDescent="0.25">
      <c r="A87" t="s">
        <v>29</v>
      </c>
      <c r="B87" t="s">
        <v>30</v>
      </c>
      <c r="BZ87" t="s">
        <v>29</v>
      </c>
      <c r="CA87" t="s">
        <v>30</v>
      </c>
    </row>
    <row r="88" spans="1:146" x14ac:dyDescent="0.25">
      <c r="A88" t="s">
        <v>31</v>
      </c>
      <c r="B88" t="s">
        <v>32</v>
      </c>
      <c r="BZ88" t="s">
        <v>31</v>
      </c>
      <c r="CA88" t="s">
        <v>32</v>
      </c>
    </row>
    <row r="90" spans="1:146" x14ac:dyDescent="0.25">
      <c r="A90" t="s">
        <v>30</v>
      </c>
      <c r="B90" t="s">
        <v>33</v>
      </c>
      <c r="C90" t="s">
        <v>232</v>
      </c>
      <c r="D90" t="s">
        <v>233</v>
      </c>
      <c r="E90" t="s">
        <v>234</v>
      </c>
      <c r="F90" t="s">
        <v>235</v>
      </c>
      <c r="G90" t="s">
        <v>236</v>
      </c>
      <c r="H90" t="s">
        <v>237</v>
      </c>
      <c r="I90" t="s">
        <v>238</v>
      </c>
      <c r="J90" t="s">
        <v>239</v>
      </c>
      <c r="K90" t="s">
        <v>240</v>
      </c>
      <c r="L90" t="s">
        <v>241</v>
      </c>
      <c r="M90" t="s">
        <v>242</v>
      </c>
      <c r="N90" t="s">
        <v>243</v>
      </c>
      <c r="O90" t="s">
        <v>244</v>
      </c>
      <c r="P90" t="s">
        <v>245</v>
      </c>
      <c r="Q90" t="s">
        <v>246</v>
      </c>
      <c r="R90" t="s">
        <v>247</v>
      </c>
      <c r="S90" t="s">
        <v>248</v>
      </c>
      <c r="T90" t="s">
        <v>249</v>
      </c>
      <c r="U90" t="s">
        <v>250</v>
      </c>
      <c r="V90" t="s">
        <v>251</v>
      </c>
      <c r="W90" t="s">
        <v>252</v>
      </c>
      <c r="X90" t="s">
        <v>253</v>
      </c>
      <c r="Y90" t="s">
        <v>254</v>
      </c>
      <c r="Z90" t="s">
        <v>255</v>
      </c>
      <c r="AA90" t="s">
        <v>256</v>
      </c>
      <c r="AB90" t="s">
        <v>257</v>
      </c>
      <c r="AC90" t="s">
        <v>258</v>
      </c>
      <c r="AD90" t="s">
        <v>259</v>
      </c>
      <c r="AE90" t="s">
        <v>260</v>
      </c>
      <c r="AF90" t="s">
        <v>261</v>
      </c>
      <c r="AG90" t="s">
        <v>262</v>
      </c>
      <c r="AH90" t="s">
        <v>263</v>
      </c>
      <c r="AI90" t="s">
        <v>264</v>
      </c>
      <c r="AJ90" t="s">
        <v>265</v>
      </c>
      <c r="AK90" t="s">
        <v>266</v>
      </c>
      <c r="AL90" t="s">
        <v>267</v>
      </c>
      <c r="AM90" t="s">
        <v>268</v>
      </c>
      <c r="AN90" t="s">
        <v>269</v>
      </c>
      <c r="AO90" t="s">
        <v>270</v>
      </c>
      <c r="AP90" t="s">
        <v>271</v>
      </c>
      <c r="AQ90" t="s">
        <v>272</v>
      </c>
      <c r="AR90" t="s">
        <v>273</v>
      </c>
      <c r="AS90" t="s">
        <v>274</v>
      </c>
      <c r="AT90" t="s">
        <v>275</v>
      </c>
      <c r="AU90" t="s">
        <v>276</v>
      </c>
      <c r="AV90" t="s">
        <v>277</v>
      </c>
      <c r="AW90" t="s">
        <v>278</v>
      </c>
      <c r="AX90" t="s">
        <v>279</v>
      </c>
      <c r="AY90" t="s">
        <v>370</v>
      </c>
      <c r="AZ90" t="s">
        <v>280</v>
      </c>
      <c r="BA90" t="s">
        <v>281</v>
      </c>
      <c r="BB90" t="s">
        <v>282</v>
      </c>
      <c r="BC90" t="s">
        <v>283</v>
      </c>
      <c r="BD90" t="s">
        <v>284</v>
      </c>
      <c r="BE90" t="s">
        <v>371</v>
      </c>
      <c r="BF90" t="s">
        <v>372</v>
      </c>
      <c r="BG90" t="s">
        <v>285</v>
      </c>
      <c r="BH90" t="s">
        <v>373</v>
      </c>
      <c r="BI90" t="s">
        <v>286</v>
      </c>
      <c r="BJ90" t="s">
        <v>374</v>
      </c>
      <c r="BK90" t="s">
        <v>375</v>
      </c>
      <c r="BL90" t="s">
        <v>376</v>
      </c>
      <c r="BM90" t="s">
        <v>377</v>
      </c>
      <c r="BN90" t="s">
        <v>378</v>
      </c>
      <c r="BO90" t="s">
        <v>379</v>
      </c>
      <c r="BP90" t="s">
        <v>287</v>
      </c>
      <c r="BQ90" t="s">
        <v>288</v>
      </c>
      <c r="BR90" t="s">
        <v>380</v>
      </c>
      <c r="BS90" t="s">
        <v>381</v>
      </c>
      <c r="BT90" t="s">
        <v>382</v>
      </c>
      <c r="BU90" t="s">
        <v>383</v>
      </c>
      <c r="BV90" t="s">
        <v>384</v>
      </c>
      <c r="BW90" t="s">
        <v>385</v>
      </c>
      <c r="BX90" t="s">
        <v>386</v>
      </c>
      <c r="BY90" t="s">
        <v>387</v>
      </c>
      <c r="BZ90" t="s">
        <v>30</v>
      </c>
      <c r="CA90" t="s">
        <v>33</v>
      </c>
      <c r="CB90" t="s">
        <v>506</v>
      </c>
      <c r="CC90" t="s">
        <v>507</v>
      </c>
      <c r="CD90" t="s">
        <v>508</v>
      </c>
      <c r="CE90" t="s">
        <v>509</v>
      </c>
      <c r="CF90" t="s">
        <v>510</v>
      </c>
      <c r="CG90" t="s">
        <v>511</v>
      </c>
      <c r="CH90" t="s">
        <v>512</v>
      </c>
      <c r="CI90" t="s">
        <v>513</v>
      </c>
      <c r="CJ90" t="s">
        <v>514</v>
      </c>
      <c r="CK90" t="s">
        <v>515</v>
      </c>
      <c r="CL90" t="s">
        <v>516</v>
      </c>
      <c r="CM90" t="s">
        <v>517</v>
      </c>
      <c r="CN90" t="s">
        <v>518</v>
      </c>
      <c r="CO90" t="s">
        <v>519</v>
      </c>
      <c r="CP90" t="s">
        <v>520</v>
      </c>
      <c r="CQ90" t="s">
        <v>521</v>
      </c>
      <c r="CR90" t="s">
        <v>522</v>
      </c>
      <c r="CS90" t="s">
        <v>523</v>
      </c>
      <c r="CT90" t="s">
        <v>524</v>
      </c>
      <c r="CU90" t="s">
        <v>525</v>
      </c>
      <c r="CV90" t="s">
        <v>526</v>
      </c>
      <c r="CW90" t="s">
        <v>527</v>
      </c>
      <c r="CX90" t="s">
        <v>528</v>
      </c>
      <c r="CY90" t="s">
        <v>529</v>
      </c>
      <c r="CZ90" t="s">
        <v>530</v>
      </c>
      <c r="DA90" t="s">
        <v>531</v>
      </c>
      <c r="DB90" t="s">
        <v>532</v>
      </c>
      <c r="DC90" t="s">
        <v>533</v>
      </c>
      <c r="DD90" t="s">
        <v>534</v>
      </c>
      <c r="DE90" t="s">
        <v>535</v>
      </c>
      <c r="DF90" t="s">
        <v>536</v>
      </c>
      <c r="DG90" t="s">
        <v>537</v>
      </c>
      <c r="DH90" t="s">
        <v>538</v>
      </c>
      <c r="DI90" t="s">
        <v>539</v>
      </c>
      <c r="DJ90" t="s">
        <v>540</v>
      </c>
      <c r="DK90" t="s">
        <v>541</v>
      </c>
      <c r="DL90" t="s">
        <v>542</v>
      </c>
      <c r="DM90" t="s">
        <v>543</v>
      </c>
      <c r="DN90" t="s">
        <v>544</v>
      </c>
      <c r="DO90" t="s">
        <v>545</v>
      </c>
      <c r="DP90" t="s">
        <v>546</v>
      </c>
      <c r="DQ90" t="s">
        <v>547</v>
      </c>
      <c r="DR90" t="s">
        <v>548</v>
      </c>
      <c r="DS90" t="s">
        <v>549</v>
      </c>
      <c r="DT90" t="s">
        <v>550</v>
      </c>
      <c r="DU90" t="s">
        <v>551</v>
      </c>
      <c r="DV90" t="s">
        <v>552</v>
      </c>
      <c r="DW90" t="s">
        <v>553</v>
      </c>
      <c r="DX90" t="s">
        <v>554</v>
      </c>
      <c r="DY90" t="s">
        <v>555</v>
      </c>
      <c r="DZ90" t="s">
        <v>556</v>
      </c>
      <c r="EA90" t="s">
        <v>557</v>
      </c>
      <c r="EB90" t="s">
        <v>558</v>
      </c>
      <c r="EC90" t="s">
        <v>559</v>
      </c>
      <c r="ED90" t="s">
        <v>560</v>
      </c>
      <c r="EE90" t="s">
        <v>561</v>
      </c>
      <c r="EF90" t="s">
        <v>562</v>
      </c>
      <c r="EG90" t="s">
        <v>563</v>
      </c>
      <c r="EH90" t="s">
        <v>564</v>
      </c>
      <c r="EI90" t="s">
        <v>565</v>
      </c>
      <c r="EJ90" t="s">
        <v>566</v>
      </c>
      <c r="EK90" t="s">
        <v>567</v>
      </c>
      <c r="EL90" t="s">
        <v>568</v>
      </c>
      <c r="EM90" t="s">
        <v>569</v>
      </c>
      <c r="EN90" t="s">
        <v>570</v>
      </c>
      <c r="EO90" t="s">
        <v>571</v>
      </c>
      <c r="EP90" t="s">
        <v>572</v>
      </c>
    </row>
    <row r="91" spans="1:146" x14ac:dyDescent="0.25">
      <c r="A91" t="s">
        <v>41</v>
      </c>
      <c r="B91" t="s">
        <v>42</v>
      </c>
      <c r="C91" t="s">
        <v>621</v>
      </c>
      <c r="D91" t="s">
        <v>388</v>
      </c>
      <c r="E91" t="s">
        <v>389</v>
      </c>
      <c r="F91" t="s">
        <v>622</v>
      </c>
      <c r="G91" t="s">
        <v>623</v>
      </c>
      <c r="H91" t="s">
        <v>390</v>
      </c>
      <c r="I91" t="s">
        <v>391</v>
      </c>
      <c r="J91" t="s">
        <v>624</v>
      </c>
      <c r="K91" t="s">
        <v>625</v>
      </c>
      <c r="L91" t="s">
        <v>626</v>
      </c>
      <c r="M91" t="s">
        <v>627</v>
      </c>
      <c r="N91" t="s">
        <v>392</v>
      </c>
      <c r="O91" t="s">
        <v>628</v>
      </c>
      <c r="P91" t="s">
        <v>629</v>
      </c>
      <c r="Q91" t="s">
        <v>630</v>
      </c>
      <c r="R91" t="s">
        <v>631</v>
      </c>
      <c r="S91" t="s">
        <v>632</v>
      </c>
      <c r="T91" t="s">
        <v>393</v>
      </c>
      <c r="U91" t="s">
        <v>633</v>
      </c>
      <c r="V91" t="s">
        <v>634</v>
      </c>
      <c r="W91" t="s">
        <v>635</v>
      </c>
      <c r="X91" t="s">
        <v>636</v>
      </c>
      <c r="Y91" t="s">
        <v>394</v>
      </c>
      <c r="Z91" t="s">
        <v>637</v>
      </c>
      <c r="AA91" t="s">
        <v>395</v>
      </c>
      <c r="AB91" t="s">
        <v>638</v>
      </c>
      <c r="AC91" t="s">
        <v>639</v>
      </c>
      <c r="AD91" t="s">
        <v>396</v>
      </c>
      <c r="AE91" t="s">
        <v>397</v>
      </c>
      <c r="AF91" t="s">
        <v>640</v>
      </c>
      <c r="AG91" t="s">
        <v>641</v>
      </c>
      <c r="AH91" t="s">
        <v>642</v>
      </c>
      <c r="AI91" t="s">
        <v>643</v>
      </c>
      <c r="AJ91" t="s">
        <v>644</v>
      </c>
      <c r="AK91" t="s">
        <v>398</v>
      </c>
      <c r="AL91" t="s">
        <v>645</v>
      </c>
      <c r="AM91" t="s">
        <v>399</v>
      </c>
      <c r="AN91" t="s">
        <v>646</v>
      </c>
      <c r="AO91" t="s">
        <v>647</v>
      </c>
      <c r="AP91" t="s">
        <v>648</v>
      </c>
      <c r="AQ91" t="s">
        <v>649</v>
      </c>
      <c r="AR91" t="s">
        <v>400</v>
      </c>
      <c r="AS91" t="s">
        <v>650</v>
      </c>
      <c r="AT91" t="s">
        <v>651</v>
      </c>
      <c r="AU91" t="s">
        <v>652</v>
      </c>
      <c r="AV91" t="s">
        <v>401</v>
      </c>
      <c r="AW91" t="s">
        <v>653</v>
      </c>
      <c r="AX91" t="s">
        <v>654</v>
      </c>
      <c r="AY91" t="s">
        <v>655</v>
      </c>
      <c r="AZ91" t="s">
        <v>656</v>
      </c>
      <c r="BA91" t="s">
        <v>657</v>
      </c>
      <c r="BB91" t="s">
        <v>658</v>
      </c>
      <c r="BC91" t="s">
        <v>659</v>
      </c>
      <c r="BD91" t="s">
        <v>660</v>
      </c>
      <c r="BE91" t="s">
        <v>661</v>
      </c>
      <c r="BF91" t="s">
        <v>662</v>
      </c>
      <c r="BG91" t="s">
        <v>663</v>
      </c>
      <c r="BH91" t="s">
        <v>402</v>
      </c>
      <c r="BI91" t="s">
        <v>664</v>
      </c>
      <c r="BJ91" t="s">
        <v>665</v>
      </c>
      <c r="BK91" t="s">
        <v>666</v>
      </c>
      <c r="BL91" t="s">
        <v>667</v>
      </c>
      <c r="BM91" t="s">
        <v>668</v>
      </c>
      <c r="BN91" t="s">
        <v>403</v>
      </c>
      <c r="BO91" t="s">
        <v>669</v>
      </c>
      <c r="BP91" t="s">
        <v>670</v>
      </c>
      <c r="BQ91" t="s">
        <v>671</v>
      </c>
      <c r="BR91" t="s">
        <v>672</v>
      </c>
      <c r="BS91" t="s">
        <v>673</v>
      </c>
      <c r="BT91" t="s">
        <v>674</v>
      </c>
      <c r="BU91" t="s">
        <v>675</v>
      </c>
      <c r="BV91" t="s">
        <v>676</v>
      </c>
      <c r="BW91" t="s">
        <v>677</v>
      </c>
      <c r="BX91" t="s">
        <v>404</v>
      </c>
      <c r="BY91" t="s">
        <v>678</v>
      </c>
      <c r="BZ91" t="s">
        <v>41</v>
      </c>
      <c r="CA91" t="s">
        <v>42</v>
      </c>
      <c r="CB91" t="s">
        <v>795</v>
      </c>
      <c r="CC91" t="s">
        <v>796</v>
      </c>
      <c r="CD91" t="s">
        <v>797</v>
      </c>
      <c r="CE91" t="s">
        <v>573</v>
      </c>
      <c r="CF91" t="s">
        <v>574</v>
      </c>
      <c r="CG91" t="s">
        <v>575</v>
      </c>
      <c r="CH91" t="s">
        <v>798</v>
      </c>
      <c r="CI91" t="s">
        <v>799</v>
      </c>
      <c r="CJ91" t="s">
        <v>576</v>
      </c>
      <c r="CK91" t="s">
        <v>800</v>
      </c>
      <c r="CL91" t="s">
        <v>801</v>
      </c>
      <c r="CM91" t="s">
        <v>802</v>
      </c>
      <c r="CN91" t="s">
        <v>803</v>
      </c>
      <c r="CO91" t="s">
        <v>804</v>
      </c>
      <c r="CP91" t="s">
        <v>805</v>
      </c>
      <c r="CQ91" t="s">
        <v>806</v>
      </c>
      <c r="CR91" t="s">
        <v>577</v>
      </c>
      <c r="CS91" t="s">
        <v>807</v>
      </c>
      <c r="CT91" t="s">
        <v>808</v>
      </c>
      <c r="CU91" t="s">
        <v>809</v>
      </c>
      <c r="CV91" t="s">
        <v>810</v>
      </c>
      <c r="CW91" t="s">
        <v>811</v>
      </c>
      <c r="CX91" t="s">
        <v>578</v>
      </c>
      <c r="CY91" t="s">
        <v>579</v>
      </c>
      <c r="CZ91" t="s">
        <v>812</v>
      </c>
      <c r="DA91" t="s">
        <v>813</v>
      </c>
      <c r="DB91" t="s">
        <v>814</v>
      </c>
      <c r="DC91" t="s">
        <v>815</v>
      </c>
      <c r="DD91" t="s">
        <v>816</v>
      </c>
      <c r="DE91" t="s">
        <v>817</v>
      </c>
      <c r="DF91" t="s">
        <v>580</v>
      </c>
      <c r="DG91" t="s">
        <v>581</v>
      </c>
      <c r="DH91" t="s">
        <v>818</v>
      </c>
      <c r="DI91" t="s">
        <v>819</v>
      </c>
      <c r="DJ91" t="s">
        <v>820</v>
      </c>
      <c r="DK91" t="s">
        <v>821</v>
      </c>
      <c r="DL91" t="s">
        <v>822</v>
      </c>
      <c r="DM91" t="s">
        <v>823</v>
      </c>
      <c r="DN91" t="s">
        <v>824</v>
      </c>
      <c r="DO91" t="s">
        <v>825</v>
      </c>
      <c r="DP91" t="s">
        <v>582</v>
      </c>
      <c r="DQ91" t="s">
        <v>826</v>
      </c>
      <c r="DR91" t="s">
        <v>827</v>
      </c>
      <c r="DS91" t="s">
        <v>828</v>
      </c>
      <c r="DT91" t="s">
        <v>829</v>
      </c>
      <c r="DU91" t="s">
        <v>583</v>
      </c>
      <c r="DV91" t="s">
        <v>584</v>
      </c>
      <c r="DW91" t="s">
        <v>830</v>
      </c>
      <c r="DX91" t="s">
        <v>388</v>
      </c>
      <c r="DY91" t="s">
        <v>831</v>
      </c>
      <c r="DZ91" t="s">
        <v>832</v>
      </c>
      <c r="EA91" t="s">
        <v>585</v>
      </c>
      <c r="EB91" t="s">
        <v>833</v>
      </c>
      <c r="EC91" t="s">
        <v>834</v>
      </c>
      <c r="ED91" t="s">
        <v>586</v>
      </c>
      <c r="EE91" t="s">
        <v>835</v>
      </c>
      <c r="EF91" t="s">
        <v>587</v>
      </c>
      <c r="EG91" t="s">
        <v>836</v>
      </c>
      <c r="EH91" t="s">
        <v>837</v>
      </c>
      <c r="EI91" t="s">
        <v>588</v>
      </c>
      <c r="EJ91" t="s">
        <v>838</v>
      </c>
      <c r="EK91" t="s">
        <v>839</v>
      </c>
      <c r="EL91" t="s">
        <v>840</v>
      </c>
      <c r="EM91" t="s">
        <v>841</v>
      </c>
      <c r="EN91" t="s">
        <v>842</v>
      </c>
      <c r="EO91" t="s">
        <v>843</v>
      </c>
      <c r="EP91" t="s">
        <v>844</v>
      </c>
    </row>
    <row r="92" spans="1:146" x14ac:dyDescent="0.25">
      <c r="A92" t="s">
        <v>43</v>
      </c>
      <c r="B92" t="s">
        <v>42</v>
      </c>
      <c r="C92" t="s">
        <v>679</v>
      </c>
      <c r="D92" t="s">
        <v>405</v>
      </c>
      <c r="E92" t="s">
        <v>406</v>
      </c>
      <c r="F92" t="s">
        <v>680</v>
      </c>
      <c r="G92" t="s">
        <v>681</v>
      </c>
      <c r="H92" t="s">
        <v>407</v>
      </c>
      <c r="I92" t="s">
        <v>408</v>
      </c>
      <c r="J92" t="s">
        <v>682</v>
      </c>
      <c r="K92" t="s">
        <v>683</v>
      </c>
      <c r="L92" t="s">
        <v>684</v>
      </c>
      <c r="M92" t="s">
        <v>685</v>
      </c>
      <c r="N92" t="s">
        <v>409</v>
      </c>
      <c r="O92" t="s">
        <v>686</v>
      </c>
      <c r="P92" t="s">
        <v>687</v>
      </c>
      <c r="Q92" t="s">
        <v>688</v>
      </c>
      <c r="R92" t="s">
        <v>689</v>
      </c>
      <c r="S92" t="s">
        <v>690</v>
      </c>
      <c r="T92" t="s">
        <v>410</v>
      </c>
      <c r="U92" t="s">
        <v>691</v>
      </c>
      <c r="V92" t="s">
        <v>692</v>
      </c>
      <c r="W92" t="s">
        <v>693</v>
      </c>
      <c r="X92" t="s">
        <v>694</v>
      </c>
      <c r="Y92" t="s">
        <v>411</v>
      </c>
      <c r="Z92" t="s">
        <v>695</v>
      </c>
      <c r="AA92" t="s">
        <v>412</v>
      </c>
      <c r="AB92" t="s">
        <v>696</v>
      </c>
      <c r="AC92" t="s">
        <v>697</v>
      </c>
      <c r="AD92" t="s">
        <v>413</v>
      </c>
      <c r="AE92" t="s">
        <v>414</v>
      </c>
      <c r="AF92" t="s">
        <v>698</v>
      </c>
      <c r="AG92" t="s">
        <v>699</v>
      </c>
      <c r="AH92" t="s">
        <v>700</v>
      </c>
      <c r="AI92" t="s">
        <v>701</v>
      </c>
      <c r="AJ92" t="s">
        <v>702</v>
      </c>
      <c r="AK92" t="s">
        <v>415</v>
      </c>
      <c r="AL92" t="s">
        <v>703</v>
      </c>
      <c r="AM92" t="s">
        <v>416</v>
      </c>
      <c r="AN92" t="s">
        <v>704</v>
      </c>
      <c r="AO92" t="s">
        <v>705</v>
      </c>
      <c r="AP92" t="s">
        <v>706</v>
      </c>
      <c r="AQ92" t="s">
        <v>707</v>
      </c>
      <c r="AR92" t="s">
        <v>417</v>
      </c>
      <c r="AS92" t="s">
        <v>708</v>
      </c>
      <c r="AT92" t="s">
        <v>709</v>
      </c>
      <c r="AU92" t="s">
        <v>710</v>
      </c>
      <c r="AV92" t="s">
        <v>418</v>
      </c>
      <c r="AW92" t="s">
        <v>711</v>
      </c>
      <c r="AX92" t="s">
        <v>712</v>
      </c>
      <c r="AY92" t="s">
        <v>713</v>
      </c>
      <c r="AZ92" t="s">
        <v>714</v>
      </c>
      <c r="BA92" t="s">
        <v>715</v>
      </c>
      <c r="BB92" t="s">
        <v>716</v>
      </c>
      <c r="BC92" t="s">
        <v>717</v>
      </c>
      <c r="BD92" t="s">
        <v>718</v>
      </c>
      <c r="BE92" t="s">
        <v>719</v>
      </c>
      <c r="BF92" t="s">
        <v>720</v>
      </c>
      <c r="BG92" t="s">
        <v>721</v>
      </c>
      <c r="BH92" t="s">
        <v>419</v>
      </c>
      <c r="BI92" t="s">
        <v>722</v>
      </c>
      <c r="BJ92" t="s">
        <v>723</v>
      </c>
      <c r="BK92" t="s">
        <v>724</v>
      </c>
      <c r="BL92" t="s">
        <v>725</v>
      </c>
      <c r="BM92" t="s">
        <v>726</v>
      </c>
      <c r="BN92" t="s">
        <v>420</v>
      </c>
      <c r="BO92" t="s">
        <v>727</v>
      </c>
      <c r="BP92" t="s">
        <v>728</v>
      </c>
      <c r="BQ92" t="s">
        <v>729</v>
      </c>
      <c r="BR92" t="s">
        <v>730</v>
      </c>
      <c r="BS92" t="s">
        <v>731</v>
      </c>
      <c r="BT92" t="s">
        <v>732</v>
      </c>
      <c r="BU92" t="s">
        <v>733</v>
      </c>
      <c r="BV92" t="s">
        <v>734</v>
      </c>
      <c r="BW92" t="s">
        <v>735</v>
      </c>
      <c r="BX92" t="s">
        <v>421</v>
      </c>
      <c r="BY92" t="s">
        <v>736</v>
      </c>
      <c r="BZ92" t="s">
        <v>43</v>
      </c>
      <c r="CA92" t="s">
        <v>42</v>
      </c>
      <c r="CB92" t="s">
        <v>845</v>
      </c>
      <c r="CC92" t="s">
        <v>846</v>
      </c>
      <c r="CD92" t="s">
        <v>847</v>
      </c>
      <c r="CE92" t="s">
        <v>589</v>
      </c>
      <c r="CF92" t="s">
        <v>590</v>
      </c>
      <c r="CG92" t="s">
        <v>591</v>
      </c>
      <c r="CH92" t="s">
        <v>848</v>
      </c>
      <c r="CI92" t="s">
        <v>849</v>
      </c>
      <c r="CJ92" t="s">
        <v>592</v>
      </c>
      <c r="CK92" t="s">
        <v>850</v>
      </c>
      <c r="CL92" t="s">
        <v>851</v>
      </c>
      <c r="CM92" t="s">
        <v>852</v>
      </c>
      <c r="CN92" t="s">
        <v>853</v>
      </c>
      <c r="CO92" t="s">
        <v>854</v>
      </c>
      <c r="CP92" t="s">
        <v>855</v>
      </c>
      <c r="CQ92" t="s">
        <v>856</v>
      </c>
      <c r="CR92" t="s">
        <v>593</v>
      </c>
      <c r="CS92" t="s">
        <v>857</v>
      </c>
      <c r="CT92" t="s">
        <v>858</v>
      </c>
      <c r="CU92" t="s">
        <v>859</v>
      </c>
      <c r="CV92" t="s">
        <v>860</v>
      </c>
      <c r="CW92" t="s">
        <v>861</v>
      </c>
      <c r="CX92" t="s">
        <v>594</v>
      </c>
      <c r="CY92" t="s">
        <v>595</v>
      </c>
      <c r="CZ92" t="s">
        <v>862</v>
      </c>
      <c r="DA92" t="s">
        <v>863</v>
      </c>
      <c r="DB92" t="s">
        <v>864</v>
      </c>
      <c r="DC92" t="s">
        <v>865</v>
      </c>
      <c r="DD92" t="s">
        <v>866</v>
      </c>
      <c r="DE92" t="s">
        <v>867</v>
      </c>
      <c r="DF92" t="s">
        <v>596</v>
      </c>
      <c r="DG92" t="s">
        <v>597</v>
      </c>
      <c r="DH92" t="s">
        <v>868</v>
      </c>
      <c r="DI92" t="s">
        <v>869</v>
      </c>
      <c r="DJ92" t="s">
        <v>870</v>
      </c>
      <c r="DK92" t="s">
        <v>871</v>
      </c>
      <c r="DL92" t="s">
        <v>872</v>
      </c>
      <c r="DM92" t="s">
        <v>873</v>
      </c>
      <c r="DN92" t="s">
        <v>874</v>
      </c>
      <c r="DO92" t="s">
        <v>875</v>
      </c>
      <c r="DP92" t="s">
        <v>598</v>
      </c>
      <c r="DQ92" t="s">
        <v>876</v>
      </c>
      <c r="DR92" t="s">
        <v>877</v>
      </c>
      <c r="DS92" t="s">
        <v>878</v>
      </c>
      <c r="DT92" t="s">
        <v>879</v>
      </c>
      <c r="DU92" t="s">
        <v>599</v>
      </c>
      <c r="DV92" t="s">
        <v>600</v>
      </c>
      <c r="DW92" t="s">
        <v>880</v>
      </c>
      <c r="DX92" t="s">
        <v>405</v>
      </c>
      <c r="DY92" t="s">
        <v>881</v>
      </c>
      <c r="DZ92" t="s">
        <v>882</v>
      </c>
      <c r="EA92" t="s">
        <v>601</v>
      </c>
      <c r="EB92" t="s">
        <v>883</v>
      </c>
      <c r="EC92" t="s">
        <v>884</v>
      </c>
      <c r="ED92" t="s">
        <v>602</v>
      </c>
      <c r="EE92" t="s">
        <v>885</v>
      </c>
      <c r="EF92" t="s">
        <v>603</v>
      </c>
      <c r="EG92" t="s">
        <v>886</v>
      </c>
      <c r="EH92" t="s">
        <v>887</v>
      </c>
      <c r="EI92" t="s">
        <v>604</v>
      </c>
      <c r="EJ92" t="s">
        <v>888</v>
      </c>
      <c r="EK92" t="s">
        <v>889</v>
      </c>
      <c r="EL92" t="s">
        <v>890</v>
      </c>
      <c r="EM92" t="s">
        <v>891</v>
      </c>
      <c r="EN92" t="s">
        <v>892</v>
      </c>
      <c r="EO92" t="s">
        <v>893</v>
      </c>
      <c r="EP92" t="s">
        <v>894</v>
      </c>
    </row>
    <row r="93" spans="1:146" x14ac:dyDescent="0.25">
      <c r="A93" t="s">
        <v>44</v>
      </c>
      <c r="B93" t="s">
        <v>42</v>
      </c>
      <c r="C93" t="s">
        <v>737</v>
      </c>
      <c r="D93" t="s">
        <v>422</v>
      </c>
      <c r="E93" t="s">
        <v>423</v>
      </c>
      <c r="F93" t="s">
        <v>738</v>
      </c>
      <c r="G93" t="s">
        <v>739</v>
      </c>
      <c r="H93" t="s">
        <v>424</v>
      </c>
      <c r="I93" t="s">
        <v>425</v>
      </c>
      <c r="J93" t="s">
        <v>740</v>
      </c>
      <c r="K93" t="s">
        <v>741</v>
      </c>
      <c r="L93" t="s">
        <v>742</v>
      </c>
      <c r="M93" t="s">
        <v>743</v>
      </c>
      <c r="N93" t="s">
        <v>426</v>
      </c>
      <c r="O93" t="s">
        <v>744</v>
      </c>
      <c r="P93" t="s">
        <v>745</v>
      </c>
      <c r="Q93" t="s">
        <v>746</v>
      </c>
      <c r="R93" t="s">
        <v>747</v>
      </c>
      <c r="S93" t="s">
        <v>748</v>
      </c>
      <c r="T93" t="s">
        <v>427</v>
      </c>
      <c r="U93" t="s">
        <v>749</v>
      </c>
      <c r="V93" t="s">
        <v>750</v>
      </c>
      <c r="W93" t="s">
        <v>751</v>
      </c>
      <c r="X93" t="s">
        <v>752</v>
      </c>
      <c r="Y93" t="s">
        <v>428</v>
      </c>
      <c r="Z93" t="s">
        <v>753</v>
      </c>
      <c r="AA93" t="s">
        <v>429</v>
      </c>
      <c r="AB93" t="s">
        <v>754</v>
      </c>
      <c r="AC93" t="s">
        <v>755</v>
      </c>
      <c r="AD93" t="s">
        <v>430</v>
      </c>
      <c r="AE93" t="s">
        <v>431</v>
      </c>
      <c r="AF93" t="s">
        <v>756</v>
      </c>
      <c r="AG93" t="s">
        <v>757</v>
      </c>
      <c r="AH93" t="s">
        <v>758</v>
      </c>
      <c r="AI93" t="s">
        <v>759</v>
      </c>
      <c r="AJ93" t="s">
        <v>760</v>
      </c>
      <c r="AK93" t="s">
        <v>432</v>
      </c>
      <c r="AL93" t="s">
        <v>761</v>
      </c>
      <c r="AM93" t="s">
        <v>433</v>
      </c>
      <c r="AN93" t="s">
        <v>762</v>
      </c>
      <c r="AO93" t="s">
        <v>763</v>
      </c>
      <c r="AP93" t="s">
        <v>764</v>
      </c>
      <c r="AQ93" t="s">
        <v>765</v>
      </c>
      <c r="AR93" t="s">
        <v>434</v>
      </c>
      <c r="AS93" t="s">
        <v>766</v>
      </c>
      <c r="AT93" t="s">
        <v>767</v>
      </c>
      <c r="AU93" t="s">
        <v>768</v>
      </c>
      <c r="AV93" t="s">
        <v>435</v>
      </c>
      <c r="AW93" t="s">
        <v>769</v>
      </c>
      <c r="AX93" t="s">
        <v>770</v>
      </c>
      <c r="AY93" t="s">
        <v>771</v>
      </c>
      <c r="AZ93" t="s">
        <v>772</v>
      </c>
      <c r="BA93" t="s">
        <v>773</v>
      </c>
      <c r="BB93" t="s">
        <v>774</v>
      </c>
      <c r="BC93" t="s">
        <v>775</v>
      </c>
      <c r="BD93" t="s">
        <v>776</v>
      </c>
      <c r="BE93" t="s">
        <v>777</v>
      </c>
      <c r="BF93" t="s">
        <v>778</v>
      </c>
      <c r="BG93" t="s">
        <v>779</v>
      </c>
      <c r="BH93" t="s">
        <v>436</v>
      </c>
      <c r="BI93" t="s">
        <v>780</v>
      </c>
      <c r="BJ93" t="s">
        <v>781</v>
      </c>
      <c r="BK93" t="s">
        <v>782</v>
      </c>
      <c r="BL93" t="s">
        <v>783</v>
      </c>
      <c r="BM93" t="s">
        <v>784</v>
      </c>
      <c r="BN93" t="s">
        <v>437</v>
      </c>
      <c r="BO93" t="s">
        <v>785</v>
      </c>
      <c r="BP93" t="s">
        <v>786</v>
      </c>
      <c r="BQ93" t="s">
        <v>787</v>
      </c>
      <c r="BR93" t="s">
        <v>788</v>
      </c>
      <c r="BS93" t="s">
        <v>789</v>
      </c>
      <c r="BT93" t="s">
        <v>790</v>
      </c>
      <c r="BU93" t="s">
        <v>791</v>
      </c>
      <c r="BV93" t="s">
        <v>792</v>
      </c>
      <c r="BW93" t="s">
        <v>793</v>
      </c>
      <c r="BX93" t="s">
        <v>438</v>
      </c>
      <c r="BY93" t="s">
        <v>794</v>
      </c>
      <c r="BZ93" t="s">
        <v>44</v>
      </c>
      <c r="CA93" t="s">
        <v>42</v>
      </c>
      <c r="CB93" t="s">
        <v>895</v>
      </c>
      <c r="CC93" t="s">
        <v>896</v>
      </c>
      <c r="CD93" t="s">
        <v>897</v>
      </c>
      <c r="CE93" t="s">
        <v>605</v>
      </c>
      <c r="CF93" t="s">
        <v>606</v>
      </c>
      <c r="CG93" t="s">
        <v>607</v>
      </c>
      <c r="CH93" t="s">
        <v>898</v>
      </c>
      <c r="CI93" t="s">
        <v>899</v>
      </c>
      <c r="CJ93" t="s">
        <v>608</v>
      </c>
      <c r="CK93" t="s">
        <v>900</v>
      </c>
      <c r="CL93" t="s">
        <v>901</v>
      </c>
      <c r="CM93" t="s">
        <v>902</v>
      </c>
      <c r="CN93" t="s">
        <v>903</v>
      </c>
      <c r="CO93" t="s">
        <v>904</v>
      </c>
      <c r="CP93" t="s">
        <v>905</v>
      </c>
      <c r="CQ93" t="s">
        <v>906</v>
      </c>
      <c r="CR93" t="s">
        <v>609</v>
      </c>
      <c r="CS93" t="s">
        <v>907</v>
      </c>
      <c r="CT93" t="s">
        <v>908</v>
      </c>
      <c r="CU93" t="s">
        <v>909</v>
      </c>
      <c r="CV93" t="s">
        <v>910</v>
      </c>
      <c r="CW93" t="s">
        <v>911</v>
      </c>
      <c r="CX93" t="s">
        <v>610</v>
      </c>
      <c r="CY93" t="s">
        <v>611</v>
      </c>
      <c r="CZ93" t="s">
        <v>912</v>
      </c>
      <c r="DA93" t="s">
        <v>913</v>
      </c>
      <c r="DB93" t="s">
        <v>914</v>
      </c>
      <c r="DC93" t="s">
        <v>915</v>
      </c>
      <c r="DD93" t="s">
        <v>916</v>
      </c>
      <c r="DE93" t="s">
        <v>917</v>
      </c>
      <c r="DF93" t="s">
        <v>612</v>
      </c>
      <c r="DG93" t="s">
        <v>613</v>
      </c>
      <c r="DH93" t="s">
        <v>918</v>
      </c>
      <c r="DI93" t="s">
        <v>919</v>
      </c>
      <c r="DJ93" t="s">
        <v>920</v>
      </c>
      <c r="DK93" t="s">
        <v>921</v>
      </c>
      <c r="DL93" t="s">
        <v>922</v>
      </c>
      <c r="DM93" t="s">
        <v>923</v>
      </c>
      <c r="DN93" t="s">
        <v>924</v>
      </c>
      <c r="DO93" t="s">
        <v>925</v>
      </c>
      <c r="DP93" t="s">
        <v>614</v>
      </c>
      <c r="DQ93" t="s">
        <v>926</v>
      </c>
      <c r="DR93" t="s">
        <v>927</v>
      </c>
      <c r="DS93" t="s">
        <v>928</v>
      </c>
      <c r="DT93" t="s">
        <v>929</v>
      </c>
      <c r="DU93" t="s">
        <v>615</v>
      </c>
      <c r="DV93" t="s">
        <v>616</v>
      </c>
      <c r="DW93" t="s">
        <v>930</v>
      </c>
      <c r="DX93" t="s">
        <v>422</v>
      </c>
      <c r="DY93" t="s">
        <v>931</v>
      </c>
      <c r="DZ93" t="s">
        <v>932</v>
      </c>
      <c r="EA93" t="s">
        <v>617</v>
      </c>
      <c r="EB93" t="s">
        <v>933</v>
      </c>
      <c r="EC93" t="s">
        <v>934</v>
      </c>
      <c r="ED93" t="s">
        <v>618</v>
      </c>
      <c r="EE93" t="s">
        <v>935</v>
      </c>
      <c r="EF93" t="s">
        <v>619</v>
      </c>
      <c r="EG93" t="s">
        <v>936</v>
      </c>
      <c r="EH93" t="s">
        <v>937</v>
      </c>
      <c r="EI93" t="s">
        <v>620</v>
      </c>
      <c r="EJ93" t="s">
        <v>938</v>
      </c>
      <c r="EK93" t="s">
        <v>939</v>
      </c>
      <c r="EL93" t="s">
        <v>940</v>
      </c>
      <c r="EM93" t="s">
        <v>941</v>
      </c>
      <c r="EN93" t="s">
        <v>942</v>
      </c>
      <c r="EO93" t="s">
        <v>943</v>
      </c>
      <c r="EP93" t="s">
        <v>944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D733D-CC6B-47D4-9BB9-02D7FDB4ACAA}">
  <dimension ref="A1:AE144"/>
  <sheetViews>
    <sheetView tabSelected="1" topLeftCell="A119" workbookViewId="0">
      <selection activeCell="B110" sqref="B110:Y144"/>
    </sheetView>
  </sheetViews>
  <sheetFormatPr defaultRowHeight="15" x14ac:dyDescent="0.25"/>
  <cols>
    <col min="3" max="3" width="41.28515625" customWidth="1"/>
    <col min="4" max="4" width="14.28515625" customWidth="1"/>
  </cols>
  <sheetData>
    <row r="1" spans="1:9" x14ac:dyDescent="0.25">
      <c r="A1" t="s">
        <v>132</v>
      </c>
    </row>
    <row r="3" spans="1:9" x14ac:dyDescent="0.25">
      <c r="A3" t="s">
        <v>30</v>
      </c>
      <c r="B3" t="s">
        <v>33</v>
      </c>
      <c r="C3" t="s">
        <v>75</v>
      </c>
      <c r="D3" t="s">
        <v>76</v>
      </c>
      <c r="E3" t="s">
        <v>77</v>
      </c>
      <c r="F3" t="s">
        <v>78</v>
      </c>
      <c r="G3" s="1">
        <v>2.5000000000000001E-2</v>
      </c>
      <c r="H3" s="1">
        <v>0.97499999999999998</v>
      </c>
      <c r="I3" t="s">
        <v>79</v>
      </c>
    </row>
    <row r="4" spans="1:9" x14ac:dyDescent="0.25">
      <c r="A4" t="s">
        <v>21</v>
      </c>
      <c r="B4" t="s">
        <v>42</v>
      </c>
      <c r="C4">
        <v>5.8269244000000002</v>
      </c>
      <c r="D4">
        <v>6.0990465</v>
      </c>
      <c r="E4">
        <v>4.199662</v>
      </c>
      <c r="F4">
        <v>72.073391000000001</v>
      </c>
      <c r="G4">
        <v>-4.4993867999999999</v>
      </c>
      <c r="H4">
        <v>13.783837</v>
      </c>
      <c r="I4">
        <v>0.13280496999999999</v>
      </c>
    </row>
    <row r="6" spans="1:9" x14ac:dyDescent="0.25">
      <c r="A6" t="s">
        <v>80</v>
      </c>
      <c r="B6">
        <v>95</v>
      </c>
    </row>
    <row r="8" spans="1:9" x14ac:dyDescent="0.25">
      <c r="A8" t="s">
        <v>30</v>
      </c>
      <c r="B8" t="s">
        <v>33</v>
      </c>
      <c r="C8" t="s">
        <v>75</v>
      </c>
      <c r="D8" t="s">
        <v>76</v>
      </c>
      <c r="E8" t="s">
        <v>77</v>
      </c>
      <c r="F8" t="s">
        <v>78</v>
      </c>
      <c r="G8" s="1">
        <v>2.5000000000000001E-2</v>
      </c>
      <c r="H8" s="1">
        <v>0.97499999999999998</v>
      </c>
      <c r="I8" t="s">
        <v>79</v>
      </c>
    </row>
    <row r="9" spans="1:9" x14ac:dyDescent="0.25">
      <c r="A9" t="s">
        <v>44</v>
      </c>
      <c r="B9" t="s">
        <v>42</v>
      </c>
      <c r="C9">
        <v>2.9233755000000001</v>
      </c>
      <c r="D9">
        <v>2.865672</v>
      </c>
      <c r="E9">
        <v>0.47830992999999999</v>
      </c>
      <c r="F9">
        <v>16.361563</v>
      </c>
      <c r="G9">
        <v>2.1137975</v>
      </c>
      <c r="H9">
        <v>3.9962129000000002</v>
      </c>
      <c r="I9">
        <v>1.5125487999999999E-2</v>
      </c>
    </row>
    <row r="10" spans="1:9" x14ac:dyDescent="0.25">
      <c r="A10" t="s">
        <v>43</v>
      </c>
      <c r="B10" t="s">
        <v>42</v>
      </c>
      <c r="C10">
        <v>2.9035489000000001</v>
      </c>
      <c r="D10">
        <v>3.2912881</v>
      </c>
      <c r="E10">
        <v>4.1154052999999999</v>
      </c>
      <c r="F10">
        <v>141.73707999999999</v>
      </c>
      <c r="G10">
        <v>-7.2962749999999996</v>
      </c>
      <c r="H10">
        <v>10.527293999999999</v>
      </c>
      <c r="I10">
        <v>0.13014054</v>
      </c>
    </row>
    <row r="12" spans="1:9" x14ac:dyDescent="0.25">
      <c r="A12" t="s">
        <v>80</v>
      </c>
      <c r="B12">
        <v>95</v>
      </c>
    </row>
    <row r="14" spans="1:9" x14ac:dyDescent="0.25">
      <c r="A14" t="s">
        <v>81</v>
      </c>
      <c r="B14" t="s">
        <v>33</v>
      </c>
      <c r="C14" t="s">
        <v>75</v>
      </c>
      <c r="D14" t="s">
        <v>76</v>
      </c>
      <c r="E14" t="s">
        <v>77</v>
      </c>
      <c r="F14" t="s">
        <v>78</v>
      </c>
      <c r="G14" s="1">
        <v>2.5000000000000001E-2</v>
      </c>
      <c r="H14" s="1">
        <v>0.97499999999999998</v>
      </c>
      <c r="I14" t="s">
        <v>79</v>
      </c>
    </row>
    <row r="15" spans="1:9" x14ac:dyDescent="0.25">
      <c r="A15" t="s">
        <v>289</v>
      </c>
      <c r="B15" t="s">
        <v>82</v>
      </c>
      <c r="C15">
        <v>0.57807403999999996</v>
      </c>
      <c r="D15">
        <v>0.56970211000000004</v>
      </c>
      <c r="E15">
        <v>0.10913914</v>
      </c>
      <c r="F15">
        <v>18.879784999999998</v>
      </c>
      <c r="G15">
        <v>0.38534664000000002</v>
      </c>
      <c r="H15">
        <v>0.79269215000000004</v>
      </c>
      <c r="I15">
        <v>3.4512825000000001E-3</v>
      </c>
    </row>
    <row r="16" spans="1:9" x14ac:dyDescent="0.25">
      <c r="A16" t="s">
        <v>290</v>
      </c>
      <c r="B16" t="s">
        <v>82</v>
      </c>
      <c r="C16">
        <v>-0.17634605</v>
      </c>
      <c r="D16">
        <v>-0.15341771000000001</v>
      </c>
      <c r="E16">
        <v>9.5461343000000004E-2</v>
      </c>
      <c r="F16">
        <v>-54.132961999999999</v>
      </c>
      <c r="G16">
        <v>-0.43284391</v>
      </c>
      <c r="H16">
        <v>-6.0522616000000001E-2</v>
      </c>
      <c r="I16">
        <v>3.0187526999999998E-3</v>
      </c>
    </row>
    <row r="17" spans="1:9" x14ac:dyDescent="0.25">
      <c r="A17" t="s">
        <v>291</v>
      </c>
      <c r="B17" t="s">
        <v>82</v>
      </c>
      <c r="C17">
        <v>2.4594632000000001</v>
      </c>
      <c r="D17">
        <v>2.4316808000000001</v>
      </c>
      <c r="E17">
        <v>0.30987940000000003</v>
      </c>
      <c r="F17">
        <v>12.599473</v>
      </c>
      <c r="G17">
        <v>1.9301843999999999</v>
      </c>
      <c r="H17">
        <v>3.0772368999999999</v>
      </c>
      <c r="I17">
        <v>9.7992468999999992E-3</v>
      </c>
    </row>
    <row r="18" spans="1:9" x14ac:dyDescent="0.25">
      <c r="A18" t="s">
        <v>292</v>
      </c>
      <c r="B18" t="s">
        <v>82</v>
      </c>
      <c r="C18">
        <v>4.8178681000000001</v>
      </c>
      <c r="D18">
        <v>4.7119204999999997</v>
      </c>
      <c r="E18">
        <v>0.97683083000000004</v>
      </c>
      <c r="F18">
        <v>20.275167</v>
      </c>
      <c r="G18">
        <v>3.1958126</v>
      </c>
      <c r="H18">
        <v>6.8340591000000002</v>
      </c>
      <c r="I18">
        <v>3.0890102999999999E-2</v>
      </c>
    </row>
    <row r="19" spans="1:9" x14ac:dyDescent="0.25">
      <c r="A19" t="s">
        <v>293</v>
      </c>
      <c r="B19" t="s">
        <v>82</v>
      </c>
      <c r="C19">
        <v>1.3552837</v>
      </c>
      <c r="D19">
        <v>1.3352786999999999</v>
      </c>
      <c r="E19">
        <v>0.25392047000000001</v>
      </c>
      <c r="F19">
        <v>18.735595</v>
      </c>
      <c r="G19">
        <v>0.91752263000000001</v>
      </c>
      <c r="H19">
        <v>1.8738954000000001</v>
      </c>
      <c r="I19">
        <v>8.0296702999999997E-3</v>
      </c>
    </row>
    <row r="20" spans="1:9" x14ac:dyDescent="0.25">
      <c r="A20" t="s">
        <v>294</v>
      </c>
      <c r="B20" t="s">
        <v>82</v>
      </c>
      <c r="C20">
        <v>-5.0832600999999998E-2</v>
      </c>
      <c r="D20">
        <v>-4.4223394999999999E-2</v>
      </c>
      <c r="E20">
        <v>2.7517192999999999E-2</v>
      </c>
      <c r="F20">
        <v>-54.132961999999999</v>
      </c>
      <c r="G20">
        <v>-0.12476935</v>
      </c>
      <c r="H20">
        <v>-1.7445935999999999E-2</v>
      </c>
      <c r="I20">
        <v>8.7017004000000003E-4</v>
      </c>
    </row>
    <row r="21" spans="1:9" x14ac:dyDescent="0.25">
      <c r="A21" t="s">
        <v>295</v>
      </c>
      <c r="B21" t="s">
        <v>82</v>
      </c>
      <c r="C21">
        <v>2.8311655</v>
      </c>
      <c r="D21">
        <v>2.8196416000000002</v>
      </c>
      <c r="E21">
        <v>0.15972074999999999</v>
      </c>
      <c r="F21">
        <v>5.6415191</v>
      </c>
      <c r="G21">
        <v>2.5453898000000001</v>
      </c>
      <c r="H21">
        <v>3.1637601000000002</v>
      </c>
      <c r="I21">
        <v>5.0508133999999996E-3</v>
      </c>
    </row>
    <row r="22" spans="1:9" x14ac:dyDescent="0.25">
      <c r="A22" t="s">
        <v>296</v>
      </c>
      <c r="B22" t="s">
        <v>82</v>
      </c>
      <c r="C22">
        <v>1.3887797</v>
      </c>
      <c r="D22">
        <v>1.3582396000000001</v>
      </c>
      <c r="E22">
        <v>0.28157721000000002</v>
      </c>
      <c r="F22">
        <v>20.275153</v>
      </c>
      <c r="G22">
        <v>0.92121238999999999</v>
      </c>
      <c r="H22">
        <v>1.9699584999999999</v>
      </c>
      <c r="I22">
        <v>8.9042532999999997E-3</v>
      </c>
    </row>
    <row r="23" spans="1:9" x14ac:dyDescent="0.25">
      <c r="A23" t="s">
        <v>297</v>
      </c>
      <c r="B23" t="s">
        <v>82</v>
      </c>
      <c r="C23">
        <v>8.2577111999999994E-2</v>
      </c>
      <c r="D23">
        <v>8.1381192000000005E-2</v>
      </c>
      <c r="E23">
        <v>1.5590381E-2</v>
      </c>
      <c r="F23">
        <v>18.879784999999998</v>
      </c>
      <c r="G23">
        <v>5.5046258000000001E-2</v>
      </c>
      <c r="H23">
        <v>0.11323502000000001</v>
      </c>
      <c r="I23">
        <v>4.9301114999999996E-4</v>
      </c>
    </row>
    <row r="24" spans="1:9" x14ac:dyDescent="0.25">
      <c r="A24" t="s">
        <v>298</v>
      </c>
      <c r="B24" t="s">
        <v>82</v>
      </c>
      <c r="C24">
        <v>-2.5190800999999999E-2</v>
      </c>
      <c r="D24">
        <v>-2.1915515999999999E-2</v>
      </c>
      <c r="E24">
        <v>1.3636527000000001E-2</v>
      </c>
      <c r="F24">
        <v>-54.132961999999999</v>
      </c>
      <c r="G24">
        <v>-6.1831179999999999E-2</v>
      </c>
      <c r="H24">
        <v>-8.6455756000000002E-3</v>
      </c>
      <c r="I24">
        <v>4.3122483000000001E-4</v>
      </c>
    </row>
    <row r="25" spans="1:9" x14ac:dyDescent="0.25">
      <c r="A25" t="s">
        <v>299</v>
      </c>
      <c r="B25" t="s">
        <v>82</v>
      </c>
      <c r="C25">
        <v>0.35133107000000002</v>
      </c>
      <c r="D25">
        <v>0.34736239000000002</v>
      </c>
      <c r="E25">
        <v>4.4265862000000003E-2</v>
      </c>
      <c r="F25">
        <v>12.599473</v>
      </c>
      <c r="G25">
        <v>0.27572428999999998</v>
      </c>
      <c r="H25">
        <v>0.43957921999999999</v>
      </c>
      <c r="I25">
        <v>1.3998095000000001E-3</v>
      </c>
    </row>
    <row r="26" spans="1:9" x14ac:dyDescent="0.25">
      <c r="A26" t="s">
        <v>300</v>
      </c>
      <c r="B26" t="s">
        <v>82</v>
      </c>
      <c r="C26">
        <v>0.68822609000000001</v>
      </c>
      <c r="D26">
        <v>0.67309160999999995</v>
      </c>
      <c r="E26">
        <v>0.13953899</v>
      </c>
      <c r="F26">
        <v>20.275167</v>
      </c>
      <c r="G26">
        <v>0.45651761000000002</v>
      </c>
      <c r="H26">
        <v>0.97623631</v>
      </c>
      <c r="I26">
        <v>4.4126104000000001E-3</v>
      </c>
    </row>
    <row r="27" spans="1:9" x14ac:dyDescent="0.25">
      <c r="A27" t="s">
        <v>301</v>
      </c>
      <c r="B27" t="s">
        <v>82</v>
      </c>
      <c r="C27">
        <v>0.19360047999999999</v>
      </c>
      <c r="D27">
        <v>0.19074279999999999</v>
      </c>
      <c r="E27">
        <v>3.6272203000000003E-2</v>
      </c>
      <c r="F27">
        <v>18.735595</v>
      </c>
      <c r="G27">
        <v>0.13106688999999999</v>
      </c>
      <c r="H27">
        <v>0.26768347999999997</v>
      </c>
      <c r="I27">
        <v>1.1470278E-3</v>
      </c>
    </row>
    <row r="28" spans="1:9" x14ac:dyDescent="0.25">
      <c r="A28" t="s">
        <v>302</v>
      </c>
      <c r="B28" t="s">
        <v>82</v>
      </c>
      <c r="C28">
        <v>-7.2613699E-3</v>
      </c>
      <c r="D28">
        <v>-6.3172534000000002E-3</v>
      </c>
      <c r="E28">
        <v>3.9307945999999998E-3</v>
      </c>
      <c r="F28">
        <v>-54.132961999999999</v>
      </c>
      <c r="G28">
        <v>-1.7823136E-2</v>
      </c>
      <c r="H28">
        <v>-2.4921289E-3</v>
      </c>
      <c r="I28">
        <v>1.2430264000000001E-4</v>
      </c>
    </row>
    <row r="29" spans="1:9" x14ac:dyDescent="0.25">
      <c r="A29" t="s">
        <v>303</v>
      </c>
      <c r="B29" t="s">
        <v>82</v>
      </c>
      <c r="C29">
        <v>0.40442824999999999</v>
      </c>
      <c r="D29">
        <v>0.40278207999999999</v>
      </c>
      <c r="E29">
        <v>2.2815897000000002E-2</v>
      </c>
      <c r="F29">
        <v>5.6415191</v>
      </c>
      <c r="G29">
        <v>0.36360555999999999</v>
      </c>
      <c r="H29">
        <v>0.45193895000000001</v>
      </c>
      <c r="I29">
        <v>7.2150201999999998E-4</v>
      </c>
    </row>
    <row r="30" spans="1:9" x14ac:dyDescent="0.25">
      <c r="A30" t="s">
        <v>304</v>
      </c>
      <c r="B30" t="s">
        <v>82</v>
      </c>
      <c r="C30">
        <v>0.19838533999999999</v>
      </c>
      <c r="D30">
        <v>0.19402273</v>
      </c>
      <c r="E30">
        <v>4.0222932000000003E-2</v>
      </c>
      <c r="F30">
        <v>20.275153</v>
      </c>
      <c r="G30">
        <v>0.13159397</v>
      </c>
      <c r="H30">
        <v>0.28140596000000001</v>
      </c>
      <c r="I30">
        <v>1.2719608E-3</v>
      </c>
    </row>
    <row r="31" spans="1:9" x14ac:dyDescent="0.25">
      <c r="A31" t="s">
        <v>305</v>
      </c>
      <c r="B31" t="s">
        <v>83</v>
      </c>
      <c r="C31" s="2">
        <v>1.2035894000000001E-6</v>
      </c>
      <c r="D31" s="2">
        <v>1.1861585E-6</v>
      </c>
      <c r="E31" s="2">
        <v>2.2723508999999999E-7</v>
      </c>
      <c r="F31">
        <v>18.879784999999998</v>
      </c>
      <c r="G31" s="2">
        <v>8.0231786000000002E-7</v>
      </c>
      <c r="H31" s="2">
        <v>1.6504389E-6</v>
      </c>
      <c r="I31" s="2">
        <v>7.1858045000000003E-9</v>
      </c>
    </row>
    <row r="32" spans="1:9" x14ac:dyDescent="0.25">
      <c r="A32" t="s">
        <v>306</v>
      </c>
      <c r="B32" t="s">
        <v>83</v>
      </c>
      <c r="C32" s="2">
        <v>-3.6716445000000001E-7</v>
      </c>
      <c r="D32" s="2">
        <v>-3.1942608000000002E-7</v>
      </c>
      <c r="E32" s="2">
        <v>1.9875700000000001E-7</v>
      </c>
      <c r="F32">
        <v>-54.132961999999999</v>
      </c>
      <c r="G32" s="2">
        <v>-9.0121039999999998E-7</v>
      </c>
      <c r="H32" s="2">
        <v>-1.2601219E-7</v>
      </c>
      <c r="I32" s="2">
        <v>6.2852481000000002E-9</v>
      </c>
    </row>
    <row r="33" spans="1:9" x14ac:dyDescent="0.25">
      <c r="A33" t="s">
        <v>307</v>
      </c>
      <c r="B33" t="s">
        <v>83</v>
      </c>
      <c r="C33" s="2">
        <v>5.1207694000000001E-6</v>
      </c>
      <c r="D33" s="2">
        <v>5.0629244999999998E-6</v>
      </c>
      <c r="E33" s="2">
        <v>6.4518994000000002E-7</v>
      </c>
      <c r="F33">
        <v>12.599473</v>
      </c>
      <c r="G33" s="2">
        <v>4.0187749000000004E-6</v>
      </c>
      <c r="H33" s="2">
        <v>6.4070161000000002E-6</v>
      </c>
      <c r="I33" s="2">
        <v>2.0402697E-8</v>
      </c>
    </row>
    <row r="34" spans="1:9" x14ac:dyDescent="0.25">
      <c r="A34" t="s">
        <v>308</v>
      </c>
      <c r="B34" t="s">
        <v>83</v>
      </c>
      <c r="C34" s="2">
        <v>1.0031129000000001E-5</v>
      </c>
      <c r="D34" s="2">
        <v>9.8105383000000008E-6</v>
      </c>
      <c r="E34" s="2">
        <v>2.0338281000000002E-6</v>
      </c>
      <c r="F34">
        <v>20.275167</v>
      </c>
      <c r="G34" s="2">
        <v>6.6538987999999998E-6</v>
      </c>
      <c r="H34" s="2">
        <v>1.4228975E-5</v>
      </c>
      <c r="I34" s="2">
        <v>6.4315291000000001E-8</v>
      </c>
    </row>
    <row r="35" spans="1:9" x14ac:dyDescent="0.25">
      <c r="A35" t="s">
        <v>309</v>
      </c>
      <c r="B35" t="s">
        <v>83</v>
      </c>
      <c r="C35" s="2">
        <v>2.8217927E-6</v>
      </c>
      <c r="D35" s="2">
        <v>2.7801409999999999E-6</v>
      </c>
      <c r="E35" s="2">
        <v>5.2867966000000003E-7</v>
      </c>
      <c r="F35">
        <v>18.735595</v>
      </c>
      <c r="G35" s="2">
        <v>1.9103443999999999E-6</v>
      </c>
      <c r="H35" s="2">
        <v>3.9015775000000002E-6</v>
      </c>
      <c r="I35" s="2">
        <v>1.6718319E-8</v>
      </c>
    </row>
    <row r="36" spans="1:9" x14ac:dyDescent="0.25">
      <c r="A36" t="s">
        <v>310</v>
      </c>
      <c r="B36" t="s">
        <v>83</v>
      </c>
      <c r="C36" s="2">
        <v>-1.0583692999999999E-7</v>
      </c>
      <c r="D36" s="2">
        <v>-9.2076108999999995E-8</v>
      </c>
      <c r="E36" s="2">
        <v>5.7292664000000001E-8</v>
      </c>
      <c r="F36">
        <v>-54.132961999999999</v>
      </c>
      <c r="G36" s="2">
        <v>-2.5977825000000002E-7</v>
      </c>
      <c r="H36" s="2">
        <v>-3.6323622999999997E-8</v>
      </c>
      <c r="I36" s="2">
        <v>1.8117531E-9</v>
      </c>
    </row>
    <row r="37" spans="1:9" x14ac:dyDescent="0.25">
      <c r="A37" t="s">
        <v>311</v>
      </c>
      <c r="B37" t="s">
        <v>83</v>
      </c>
      <c r="C37" s="2">
        <v>5.8946787999999998E-6</v>
      </c>
      <c r="D37" s="2">
        <v>5.8706852000000001E-6</v>
      </c>
      <c r="E37" s="2">
        <v>3.3254942999999999E-7</v>
      </c>
      <c r="F37">
        <v>5.6415191</v>
      </c>
      <c r="G37" s="2">
        <v>5.2996742999999998E-6</v>
      </c>
      <c r="H37" s="2">
        <v>6.5871632999999997E-6</v>
      </c>
      <c r="I37" s="2">
        <v>1.0516136E-8</v>
      </c>
    </row>
    <row r="38" spans="1:9" x14ac:dyDescent="0.25">
      <c r="A38" t="s">
        <v>312</v>
      </c>
      <c r="B38" t="s">
        <v>83</v>
      </c>
      <c r="C38" s="2">
        <v>2.8915336000000001E-6</v>
      </c>
      <c r="D38" s="2">
        <v>2.8279469999999999E-6</v>
      </c>
      <c r="E38" s="2">
        <v>5.8626286999999999E-7</v>
      </c>
      <c r="F38">
        <v>20.275153</v>
      </c>
      <c r="G38" s="2">
        <v>1.9180267E-6</v>
      </c>
      <c r="H38" s="2">
        <v>4.1015872999999999E-6</v>
      </c>
      <c r="I38" s="2">
        <v>1.8539260000000002E-8</v>
      </c>
    </row>
    <row r="39" spans="1:9" x14ac:dyDescent="0.25">
      <c r="A39" t="s">
        <v>84</v>
      </c>
      <c r="B39" t="s">
        <v>82</v>
      </c>
      <c r="C39" s="2">
        <v>2.8635511999999998E-19</v>
      </c>
      <c r="D39" s="2">
        <v>2.6909278E-19</v>
      </c>
      <c r="E39" s="2">
        <v>9.2142576000000004E-20</v>
      </c>
      <c r="F39">
        <v>32.177728999999999</v>
      </c>
      <c r="G39" s="2">
        <v>1.5304128999999999E-19</v>
      </c>
      <c r="H39" s="2">
        <v>5.0838193999999996E-19</v>
      </c>
      <c r="I39" s="2">
        <v>2.9138040999999999E-21</v>
      </c>
    </row>
    <row r="40" spans="1:9" x14ac:dyDescent="0.25">
      <c r="A40" t="s">
        <v>85</v>
      </c>
      <c r="B40" t="s">
        <v>82</v>
      </c>
      <c r="C40">
        <v>7.2417148000000001E-2</v>
      </c>
      <c r="D40">
        <v>7.1177955000000001E-2</v>
      </c>
      <c r="E40">
        <v>7.6344621999999999E-3</v>
      </c>
      <c r="F40">
        <v>10.542339999999999</v>
      </c>
      <c r="G40">
        <v>6.1042001999999998E-2</v>
      </c>
      <c r="H40">
        <v>9.0380838000000005E-2</v>
      </c>
      <c r="I40">
        <v>2.4142289E-4</v>
      </c>
    </row>
    <row r="41" spans="1:9" x14ac:dyDescent="0.25">
      <c r="A41" t="s">
        <v>313</v>
      </c>
      <c r="B41" t="s">
        <v>82</v>
      </c>
      <c r="C41">
        <v>5.5048145999999999E-2</v>
      </c>
      <c r="D41">
        <v>5.0426873999999997E-2</v>
      </c>
      <c r="E41">
        <v>2.4905179999999999E-2</v>
      </c>
      <c r="F41">
        <v>45.242541000000003</v>
      </c>
      <c r="G41">
        <v>1.9487909000000001E-2</v>
      </c>
      <c r="H41">
        <v>0.11326812999999999</v>
      </c>
      <c r="I41">
        <v>7.8757093999999995E-4</v>
      </c>
    </row>
    <row r="42" spans="1:9" x14ac:dyDescent="0.25">
      <c r="A42" t="s">
        <v>314</v>
      </c>
      <c r="B42" t="s">
        <v>82</v>
      </c>
      <c r="C42">
        <v>0.47156849000000001</v>
      </c>
      <c r="D42">
        <v>0.37082863999999999</v>
      </c>
      <c r="E42">
        <v>0.37467695000000001</v>
      </c>
      <c r="F42">
        <v>79.453348000000005</v>
      </c>
      <c r="G42">
        <v>4.0088776999999999E-2</v>
      </c>
      <c r="H42">
        <v>1.3973215999999999</v>
      </c>
      <c r="I42">
        <v>1.1848325E-2</v>
      </c>
    </row>
    <row r="43" spans="1:9" x14ac:dyDescent="0.25">
      <c r="A43" t="s">
        <v>86</v>
      </c>
      <c r="B43" t="s">
        <v>82</v>
      </c>
      <c r="C43">
        <v>3.1385860000000001E-3</v>
      </c>
      <c r="D43">
        <v>3.0847991000000001E-3</v>
      </c>
      <c r="E43">
        <v>6.0001593000000005E-4</v>
      </c>
      <c r="F43">
        <v>19.117397</v>
      </c>
      <c r="G43">
        <v>2.1216301999999999E-3</v>
      </c>
      <c r="H43">
        <v>4.3597610999999998E-3</v>
      </c>
      <c r="I43" s="2">
        <v>1.897417E-5</v>
      </c>
    </row>
    <row r="44" spans="1:9" x14ac:dyDescent="0.25">
      <c r="A44" t="s">
        <v>315</v>
      </c>
      <c r="B44" t="s">
        <v>83</v>
      </c>
      <c r="C44" s="2">
        <v>1.0244739E-8</v>
      </c>
      <c r="D44" s="2">
        <v>9.8247530999999993E-9</v>
      </c>
      <c r="E44" s="2">
        <v>6.3822804999999998E-9</v>
      </c>
      <c r="F44">
        <v>62.298126000000003</v>
      </c>
      <c r="G44" s="2">
        <v>-2.2161351999999999E-9</v>
      </c>
      <c r="H44" s="2">
        <v>2.3662521000000001E-8</v>
      </c>
      <c r="I44" s="2">
        <v>2.0182543E-10</v>
      </c>
    </row>
    <row r="45" spans="1:9" x14ac:dyDescent="0.25">
      <c r="A45" t="s">
        <v>316</v>
      </c>
      <c r="B45" t="s">
        <v>83</v>
      </c>
      <c r="C45" s="2">
        <v>8.5153553000000002E-8</v>
      </c>
      <c r="D45" s="2">
        <v>8.3828183000000003E-8</v>
      </c>
      <c r="E45" s="2">
        <v>2.0902448999999998E-8</v>
      </c>
      <c r="F45">
        <v>24.546773000000002</v>
      </c>
      <c r="G45" s="2">
        <v>4.8290840999999998E-8</v>
      </c>
      <c r="H45" s="2">
        <v>1.2853830000000001E-7</v>
      </c>
      <c r="I45" s="2">
        <v>6.6099348E-10</v>
      </c>
    </row>
    <row r="46" spans="1:9" x14ac:dyDescent="0.25">
      <c r="A46" t="s">
        <v>317</v>
      </c>
      <c r="B46" t="s">
        <v>83</v>
      </c>
      <c r="C46" s="2">
        <v>3.1540173999999999E-7</v>
      </c>
      <c r="D46" s="2">
        <v>3.1733317999999999E-7</v>
      </c>
      <c r="E46" s="2">
        <v>2.0623253999999999E-7</v>
      </c>
      <c r="F46">
        <v>65.387254999999996</v>
      </c>
      <c r="G46" s="2">
        <v>-8.1334627999999994E-8</v>
      </c>
      <c r="H46" s="2">
        <v>7.4074836999999998E-7</v>
      </c>
      <c r="I46" s="2">
        <v>6.5216456E-9</v>
      </c>
    </row>
    <row r="47" spans="1:9" x14ac:dyDescent="0.25">
      <c r="A47" t="s">
        <v>318</v>
      </c>
      <c r="B47" t="s">
        <v>83</v>
      </c>
      <c r="C47" s="2">
        <v>3.0928531000000002E-7</v>
      </c>
      <c r="D47" s="2">
        <v>3.0905655000000002E-7</v>
      </c>
      <c r="E47" s="2">
        <v>7.2394077000000005E-7</v>
      </c>
      <c r="F47">
        <v>234.06891999999999</v>
      </c>
      <c r="G47" s="2">
        <v>-1.1633016E-6</v>
      </c>
      <c r="H47" s="2">
        <v>1.7336832000000001E-6</v>
      </c>
      <c r="I47" s="2">
        <v>2.2893017000000001E-8</v>
      </c>
    </row>
    <row r="48" spans="1:9" x14ac:dyDescent="0.25">
      <c r="A48" t="s">
        <v>319</v>
      </c>
      <c r="B48" t="s">
        <v>82</v>
      </c>
      <c r="C48" s="2">
        <v>1.0420025E-10</v>
      </c>
      <c r="D48" s="2">
        <v>1.0231458E-10</v>
      </c>
      <c r="E48" s="2">
        <v>1.9426158E-11</v>
      </c>
      <c r="F48">
        <v>18.643101999999999</v>
      </c>
      <c r="G48" s="2">
        <v>7.0419308000000002E-11</v>
      </c>
      <c r="H48" s="2">
        <v>1.4394166E-10</v>
      </c>
      <c r="I48" s="2">
        <v>6.1430905999999998E-13</v>
      </c>
    </row>
    <row r="49" spans="1:9" x14ac:dyDescent="0.25">
      <c r="A49" t="s">
        <v>320</v>
      </c>
      <c r="B49" t="s">
        <v>83</v>
      </c>
      <c r="C49" s="2">
        <v>8.6948586999999997E-10</v>
      </c>
      <c r="D49" s="2">
        <v>8.5765575E-10</v>
      </c>
      <c r="E49" s="2">
        <v>1.6483045E-10</v>
      </c>
      <c r="F49">
        <v>18.957231</v>
      </c>
      <c r="G49" s="2">
        <v>5.7953595E-10</v>
      </c>
      <c r="H49" s="2">
        <v>1.2192372E-9</v>
      </c>
      <c r="I49" s="2">
        <v>5.2123965000000003E-12</v>
      </c>
    </row>
    <row r="50" spans="1:9" x14ac:dyDescent="0.25">
      <c r="A50" t="s">
        <v>321</v>
      </c>
      <c r="B50" t="s">
        <v>82</v>
      </c>
      <c r="C50">
        <v>0.61261429000000001</v>
      </c>
      <c r="D50">
        <v>0.60063148</v>
      </c>
      <c r="E50">
        <v>0.11690523999999999</v>
      </c>
      <c r="F50">
        <v>19.083010000000002</v>
      </c>
      <c r="G50">
        <v>0.41493279</v>
      </c>
      <c r="H50">
        <v>0.85317902000000001</v>
      </c>
      <c r="I50">
        <v>3.6968684E-3</v>
      </c>
    </row>
    <row r="51" spans="1:9" x14ac:dyDescent="0.25">
      <c r="A51" t="s">
        <v>322</v>
      </c>
      <c r="B51" t="s">
        <v>82</v>
      </c>
      <c r="C51">
        <v>0.59060119</v>
      </c>
      <c r="D51">
        <v>0.57845363000000005</v>
      </c>
      <c r="E51">
        <v>0.14718738000000001</v>
      </c>
      <c r="F51">
        <v>24.921619</v>
      </c>
      <c r="G51">
        <v>0.33169552000000002</v>
      </c>
      <c r="H51">
        <v>0.89752984000000002</v>
      </c>
      <c r="I51">
        <v>4.6544734999999999E-3</v>
      </c>
    </row>
    <row r="52" spans="1:9" x14ac:dyDescent="0.25">
      <c r="A52" t="s">
        <v>323</v>
      </c>
      <c r="B52" t="s">
        <v>82</v>
      </c>
      <c r="C52">
        <v>0.39171579000000001</v>
      </c>
      <c r="D52">
        <v>0.38470937999999999</v>
      </c>
      <c r="E52">
        <v>7.2990379999999994E-2</v>
      </c>
      <c r="F52">
        <v>18.633505</v>
      </c>
      <c r="G52">
        <v>0.26950900999999999</v>
      </c>
      <c r="H52">
        <v>0.54664217000000004</v>
      </c>
      <c r="I52">
        <v>2.3081585E-3</v>
      </c>
    </row>
    <row r="53" spans="1:9" x14ac:dyDescent="0.25">
      <c r="A53" t="s">
        <v>324</v>
      </c>
      <c r="B53" t="s">
        <v>82</v>
      </c>
      <c r="C53">
        <v>4.2521344000000003E-2</v>
      </c>
      <c r="D53">
        <v>4.1760762999999999E-2</v>
      </c>
      <c r="E53">
        <v>7.9232185000000007E-3</v>
      </c>
      <c r="F53">
        <v>18.633509</v>
      </c>
      <c r="G53">
        <v>2.9255595999999998E-2</v>
      </c>
      <c r="H53">
        <v>5.9338886E-2</v>
      </c>
      <c r="I53">
        <v>2.5055417000000003E-4</v>
      </c>
    </row>
    <row r="54" spans="1:9" x14ac:dyDescent="0.25">
      <c r="A54" t="s">
        <v>325</v>
      </c>
      <c r="B54" t="s">
        <v>82</v>
      </c>
      <c r="C54" s="2">
        <v>3.3587923E-5</v>
      </c>
      <c r="D54" s="2">
        <v>2.6600982999999998E-5</v>
      </c>
      <c r="E54" s="2">
        <v>2.6739931999999999E-5</v>
      </c>
      <c r="F54">
        <v>79.611744000000002</v>
      </c>
      <c r="G54" s="2">
        <v>2.6854644E-6</v>
      </c>
      <c r="H54" s="2">
        <v>9.9811162999999996E-5</v>
      </c>
      <c r="I54" s="2">
        <v>8.4559087999999995E-7</v>
      </c>
    </row>
    <row r="55" spans="1:9" x14ac:dyDescent="0.25">
      <c r="A55" t="s">
        <v>326</v>
      </c>
      <c r="B55" t="s">
        <v>82</v>
      </c>
      <c r="C55" s="2">
        <v>2.6874854999999999E-5</v>
      </c>
      <c r="D55" s="2">
        <v>2.1998812999999999E-5</v>
      </c>
      <c r="E55" s="2">
        <v>1.9588022E-5</v>
      </c>
      <c r="F55">
        <v>72.886058000000006</v>
      </c>
      <c r="G55" s="2">
        <v>3.6013411000000002E-6</v>
      </c>
      <c r="H55" s="2">
        <v>7.5542366000000004E-5</v>
      </c>
      <c r="I55" s="2">
        <v>6.1942764999999998E-7</v>
      </c>
    </row>
    <row r="56" spans="1:9" x14ac:dyDescent="0.25">
      <c r="A56" t="s">
        <v>87</v>
      </c>
      <c r="B56" t="s">
        <v>82</v>
      </c>
      <c r="C56">
        <v>5.2465751999999997E-2</v>
      </c>
      <c r="D56">
        <v>4.7474124999999999E-2</v>
      </c>
      <c r="E56">
        <v>1.8735335999999998E-2</v>
      </c>
      <c r="F56">
        <v>35.709648999999999</v>
      </c>
      <c r="G56">
        <v>2.9458603999999999E-2</v>
      </c>
      <c r="H56">
        <v>0.10085793</v>
      </c>
      <c r="I56">
        <v>5.9246334000000005E-4</v>
      </c>
    </row>
    <row r="57" spans="1:9" x14ac:dyDescent="0.25">
      <c r="A57" t="s">
        <v>88</v>
      </c>
      <c r="B57" t="s">
        <v>83</v>
      </c>
      <c r="C57" s="2">
        <v>1.9995401999999999E-12</v>
      </c>
      <c r="D57" s="2">
        <v>1.8649482999999999E-12</v>
      </c>
      <c r="E57" s="2">
        <v>6.8693132999999998E-13</v>
      </c>
      <c r="F57">
        <v>34.354464999999998</v>
      </c>
      <c r="G57" s="2">
        <v>1.0432912E-12</v>
      </c>
      <c r="H57" s="2">
        <v>3.7374768999999998E-12</v>
      </c>
      <c r="I57" s="2">
        <v>2.1722675999999999E-14</v>
      </c>
    </row>
    <row r="58" spans="1:9" x14ac:dyDescent="0.25">
      <c r="A58" t="s">
        <v>89</v>
      </c>
      <c r="B58" t="s">
        <v>83</v>
      </c>
      <c r="C58" s="2">
        <v>1.1019113999999999E-5</v>
      </c>
      <c r="D58" s="2">
        <v>1.0929885000000001E-5</v>
      </c>
      <c r="E58" s="2">
        <v>1.0985648E-6</v>
      </c>
      <c r="F58">
        <v>9.9696295999999993</v>
      </c>
      <c r="G58" s="2">
        <v>9.1153148000000001E-6</v>
      </c>
      <c r="H58" s="2">
        <v>1.3493684E-5</v>
      </c>
      <c r="I58" s="2">
        <v>3.4739669999999999E-8</v>
      </c>
    </row>
    <row r="59" spans="1:9" x14ac:dyDescent="0.25">
      <c r="A59" t="s">
        <v>327</v>
      </c>
      <c r="B59" t="s">
        <v>82</v>
      </c>
      <c r="C59">
        <v>5.2531559999999998E-2</v>
      </c>
      <c r="D59">
        <v>4.9967378E-2</v>
      </c>
      <c r="E59">
        <v>1.546377E-2</v>
      </c>
      <c r="F59">
        <v>29.437104000000001</v>
      </c>
      <c r="G59">
        <v>3.0500880000000001E-2</v>
      </c>
      <c r="H59">
        <v>9.2404196999999993E-2</v>
      </c>
      <c r="I59">
        <v>4.8900734999999997E-4</v>
      </c>
    </row>
    <row r="60" spans="1:9" x14ac:dyDescent="0.25">
      <c r="A60" t="s">
        <v>328</v>
      </c>
      <c r="B60" t="s">
        <v>83</v>
      </c>
      <c r="C60" s="2">
        <v>5.0937601999999996E-9</v>
      </c>
      <c r="D60" s="2">
        <v>4.7900313000000003E-9</v>
      </c>
      <c r="E60" s="2">
        <v>1.5789380999999999E-9</v>
      </c>
      <c r="F60">
        <v>30.997496000000002</v>
      </c>
      <c r="G60" s="2">
        <v>2.8900961000000002E-9</v>
      </c>
      <c r="H60" s="2">
        <v>9.1792226000000005E-9</v>
      </c>
      <c r="I60" s="2">
        <v>4.9930406999999998E-11</v>
      </c>
    </row>
    <row r="61" spans="1:9" x14ac:dyDescent="0.25">
      <c r="A61" t="s">
        <v>90</v>
      </c>
      <c r="B61" t="s">
        <v>82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91</v>
      </c>
      <c r="B62" t="s">
        <v>82</v>
      </c>
      <c r="C62">
        <v>1.2398743000000001</v>
      </c>
      <c r="D62">
        <v>1.2180329999999999</v>
      </c>
      <c r="E62">
        <v>0.14297135</v>
      </c>
      <c r="F62">
        <v>11.531116000000001</v>
      </c>
      <c r="G62">
        <v>1.0163161000000001</v>
      </c>
      <c r="H62">
        <v>1.5790583</v>
      </c>
      <c r="I62">
        <v>4.5211512000000002E-3</v>
      </c>
    </row>
    <row r="63" spans="1:9" x14ac:dyDescent="0.25">
      <c r="A63" t="s">
        <v>329</v>
      </c>
      <c r="B63" t="s">
        <v>82</v>
      </c>
      <c r="C63">
        <v>1.2259593</v>
      </c>
      <c r="D63">
        <v>0.97093594999999999</v>
      </c>
      <c r="E63">
        <v>0.97600750000000003</v>
      </c>
      <c r="F63">
        <v>79.611739999999998</v>
      </c>
      <c r="G63">
        <v>9.8019535000000005E-2</v>
      </c>
      <c r="H63">
        <v>3.6431075000000002</v>
      </c>
      <c r="I63">
        <v>3.0864066999999999E-2</v>
      </c>
    </row>
    <row r="64" spans="1:9" x14ac:dyDescent="0.25">
      <c r="A64" t="s">
        <v>330</v>
      </c>
      <c r="B64" t="s">
        <v>82</v>
      </c>
      <c r="C64">
        <v>0.98093220000000003</v>
      </c>
      <c r="D64">
        <v>0.80295669000000003</v>
      </c>
      <c r="E64">
        <v>0.71496280999999995</v>
      </c>
      <c r="F64">
        <v>72.886058000000006</v>
      </c>
      <c r="G64">
        <v>0.13144895000000001</v>
      </c>
      <c r="H64">
        <v>2.7572964</v>
      </c>
      <c r="I64">
        <v>2.2609108999999999E-2</v>
      </c>
    </row>
    <row r="65" spans="1:9" x14ac:dyDescent="0.25">
      <c r="A65" t="s">
        <v>92</v>
      </c>
      <c r="B65" t="s">
        <v>82</v>
      </c>
      <c r="C65">
        <v>1.8495516E-4</v>
      </c>
      <c r="D65">
        <v>1.7250575E-4</v>
      </c>
      <c r="E65" s="2">
        <v>6.2170785999999999E-5</v>
      </c>
      <c r="F65">
        <v>33.613976999999998</v>
      </c>
      <c r="G65" s="2">
        <v>9.3323013999999999E-5</v>
      </c>
      <c r="H65">
        <v>3.2561447000000002E-4</v>
      </c>
      <c r="I65" s="2">
        <v>1.9660129000000001E-6</v>
      </c>
    </row>
    <row r="66" spans="1:9" x14ac:dyDescent="0.25">
      <c r="A66" t="s">
        <v>331</v>
      </c>
      <c r="B66" t="s">
        <v>82</v>
      </c>
      <c r="C66" s="2">
        <v>2.7589366000000001E-5</v>
      </c>
      <c r="D66" s="2">
        <v>7.5948196999999997E-5</v>
      </c>
      <c r="E66">
        <v>4.5218955E-4</v>
      </c>
      <c r="F66">
        <v>1638.9993999999999</v>
      </c>
      <c r="G66">
        <v>-1.0872504E-3</v>
      </c>
      <c r="H66">
        <v>8.7792068000000002E-4</v>
      </c>
      <c r="I66" s="2">
        <v>1.4299489000000001E-5</v>
      </c>
    </row>
    <row r="67" spans="1:9" x14ac:dyDescent="0.25">
      <c r="A67" t="s">
        <v>332</v>
      </c>
      <c r="B67" t="s">
        <v>83</v>
      </c>
      <c r="C67" s="2">
        <v>1.4914227E-9</v>
      </c>
      <c r="D67" s="2">
        <v>5.4194848000000003E-6</v>
      </c>
      <c r="E67" s="2">
        <v>5.5234668999999997E-5</v>
      </c>
      <c r="F67">
        <v>3703488.5</v>
      </c>
      <c r="G67">
        <v>-1.359152E-4</v>
      </c>
      <c r="H67">
        <v>1.0317716E-4</v>
      </c>
      <c r="I67" s="2">
        <v>1.7466736000000001E-6</v>
      </c>
    </row>
    <row r="68" spans="1:9" x14ac:dyDescent="0.25">
      <c r="A68" t="s">
        <v>333</v>
      </c>
      <c r="B68" t="s">
        <v>82</v>
      </c>
      <c r="C68" s="2">
        <v>4.0794906999999997E-5</v>
      </c>
      <c r="D68" s="2">
        <v>4.0125898999999999E-5</v>
      </c>
      <c r="E68" s="2">
        <v>7.2827361999999998E-6</v>
      </c>
      <c r="F68">
        <v>17.852072</v>
      </c>
      <c r="G68" s="2">
        <v>2.7818446E-5</v>
      </c>
      <c r="H68" s="2">
        <v>5.6283411999999997E-5</v>
      </c>
      <c r="I68" s="2">
        <v>2.3030034000000001E-7</v>
      </c>
    </row>
    <row r="70" spans="1:9" x14ac:dyDescent="0.25">
      <c r="A70" t="s">
        <v>80</v>
      </c>
      <c r="B70">
        <v>95</v>
      </c>
    </row>
    <row r="74" spans="1:9" x14ac:dyDescent="0.25">
      <c r="A74" s="5" t="s">
        <v>958</v>
      </c>
    </row>
    <row r="75" spans="1:9" x14ac:dyDescent="0.25">
      <c r="B75" t="s">
        <v>0</v>
      </c>
      <c r="C75" t="s">
        <v>945</v>
      </c>
    </row>
    <row r="76" spans="1:9" x14ac:dyDescent="0.25">
      <c r="B76" t="s">
        <v>2</v>
      </c>
      <c r="C76" t="s">
        <v>946</v>
      </c>
    </row>
    <row r="77" spans="1:9" x14ac:dyDescent="0.25">
      <c r="B77" t="s">
        <v>947</v>
      </c>
      <c r="C77" t="s">
        <v>1028</v>
      </c>
    </row>
    <row r="78" spans="1:9" x14ac:dyDescent="0.25">
      <c r="B78" t="s">
        <v>18</v>
      </c>
      <c r="C78" t="s">
        <v>19</v>
      </c>
    </row>
    <row r="79" spans="1:9" x14ac:dyDescent="0.25">
      <c r="B79" t="s">
        <v>20</v>
      </c>
      <c r="C79" t="s">
        <v>21</v>
      </c>
    </row>
    <row r="80" spans="1:9" x14ac:dyDescent="0.25">
      <c r="B80" t="s">
        <v>948</v>
      </c>
      <c r="C80" s="4">
        <v>0.01</v>
      </c>
    </row>
    <row r="81" spans="2:31" x14ac:dyDescent="0.25">
      <c r="B81" t="s">
        <v>24</v>
      </c>
      <c r="C81" t="s">
        <v>25</v>
      </c>
    </row>
    <row r="82" spans="2:31" x14ac:dyDescent="0.25">
      <c r="B82" t="s">
        <v>26</v>
      </c>
      <c r="C82" t="s">
        <v>25</v>
      </c>
    </row>
    <row r="83" spans="2:31" x14ac:dyDescent="0.25">
      <c r="B83" t="s">
        <v>27</v>
      </c>
      <c r="C83" t="s">
        <v>25</v>
      </c>
    </row>
    <row r="84" spans="2:31" x14ac:dyDescent="0.25">
      <c r="B84" t="s">
        <v>29</v>
      </c>
      <c r="C84" t="s">
        <v>41</v>
      </c>
    </row>
    <row r="85" spans="2:31" x14ac:dyDescent="0.25">
      <c r="B85" t="s">
        <v>31</v>
      </c>
      <c r="C85" t="s">
        <v>949</v>
      </c>
    </row>
    <row r="87" spans="2:31" x14ac:dyDescent="0.25">
      <c r="B87" t="s">
        <v>25</v>
      </c>
      <c r="C87" t="s">
        <v>950</v>
      </c>
      <c r="D87" t="s">
        <v>951</v>
      </c>
      <c r="E87" t="s">
        <v>33</v>
      </c>
      <c r="F87" t="s">
        <v>41</v>
      </c>
      <c r="G87" t="s">
        <v>1029</v>
      </c>
      <c r="H87" t="s">
        <v>34</v>
      </c>
      <c r="I87" t="s">
        <v>1030</v>
      </c>
      <c r="J87" t="s">
        <v>39</v>
      </c>
      <c r="K87" t="s">
        <v>1031</v>
      </c>
      <c r="L87" t="s">
        <v>40</v>
      </c>
      <c r="M87" t="s">
        <v>36</v>
      </c>
      <c r="N87" t="s">
        <v>1032</v>
      </c>
      <c r="O87" t="s">
        <v>38</v>
      </c>
      <c r="P87" t="s">
        <v>1033</v>
      </c>
      <c r="Q87" t="s">
        <v>67</v>
      </c>
      <c r="R87" t="s">
        <v>63</v>
      </c>
      <c r="S87" t="s">
        <v>1034</v>
      </c>
      <c r="T87" t="s">
        <v>1035</v>
      </c>
      <c r="U87" t="s">
        <v>66</v>
      </c>
      <c r="V87" t="s">
        <v>61</v>
      </c>
      <c r="W87" t="s">
        <v>65</v>
      </c>
      <c r="X87" t="s">
        <v>1036</v>
      </c>
      <c r="Y87" t="s">
        <v>38</v>
      </c>
      <c r="Z87" t="s">
        <v>1037</v>
      </c>
      <c r="AA87" t="s">
        <v>1038</v>
      </c>
      <c r="AB87" t="s">
        <v>1039</v>
      </c>
      <c r="AC87" t="s">
        <v>1040</v>
      </c>
      <c r="AD87" t="s">
        <v>1041</v>
      </c>
      <c r="AE87" t="s">
        <v>1042</v>
      </c>
    </row>
    <row r="88" spans="2:31" x14ac:dyDescent="0.25">
      <c r="C88" t="s">
        <v>952</v>
      </c>
      <c r="E88" t="s">
        <v>42</v>
      </c>
      <c r="F88">
        <v>3.4369564000000001</v>
      </c>
      <c r="G88">
        <v>0</v>
      </c>
      <c r="H88">
        <v>7.7604535000000002E-2</v>
      </c>
      <c r="I88">
        <v>0.20934953000000001</v>
      </c>
      <c r="J88">
        <v>2.2553417999999999E-2</v>
      </c>
      <c r="K88" s="2">
        <v>7.3872828999999994E-5</v>
      </c>
      <c r="L88">
        <v>6.6216408999999997E-3</v>
      </c>
      <c r="M88">
        <v>1.7679701999999999E-2</v>
      </c>
      <c r="N88">
        <v>1.2330647000000001E-3</v>
      </c>
      <c r="O88">
        <v>7.9126566999999995E-3</v>
      </c>
      <c r="P88">
        <v>9.1257775999999992E-3</v>
      </c>
      <c r="Q88">
        <v>0.58432293999999996</v>
      </c>
      <c r="R88">
        <v>1.3017642</v>
      </c>
      <c r="S88">
        <v>7.6496039000000002E-2</v>
      </c>
      <c r="T88">
        <v>2.5857405999999999E-2</v>
      </c>
      <c r="U88">
        <v>2.4940120999999999E-3</v>
      </c>
      <c r="V88">
        <v>7.5323076000000003E-2</v>
      </c>
      <c r="W88">
        <v>0.86034018000000001</v>
      </c>
      <c r="X88">
        <v>0.1545908</v>
      </c>
      <c r="Y88">
        <v>1.3187760999999999E-2</v>
      </c>
      <c r="Z88">
        <v>6.5083518000000007E-2</v>
      </c>
      <c r="AA88">
        <v>6.6737454000000002E-2</v>
      </c>
      <c r="AB88" s="2">
        <v>3.6787165999999999E-5</v>
      </c>
      <c r="AC88">
        <v>1.4952164E-2</v>
      </c>
      <c r="AD88">
        <v>-0.15467710000000001</v>
      </c>
      <c r="AE88">
        <v>-1.7070114E-3</v>
      </c>
    </row>
    <row r="89" spans="2:31" x14ac:dyDescent="0.25">
      <c r="C89" t="s">
        <v>953</v>
      </c>
      <c r="E89" t="s">
        <v>42</v>
      </c>
      <c r="F89">
        <v>0.73241782</v>
      </c>
      <c r="G89">
        <v>0</v>
      </c>
      <c r="H89">
        <v>2.5268417000000001E-2</v>
      </c>
      <c r="I89">
        <v>2.7252635000000001E-2</v>
      </c>
      <c r="J89">
        <v>4.5775244999999999E-2</v>
      </c>
      <c r="K89" s="2">
        <v>7.3872828999999994E-5</v>
      </c>
      <c r="L89">
        <v>4.1845420000000001E-2</v>
      </c>
      <c r="M89">
        <v>1.8929217000000002E-2</v>
      </c>
      <c r="N89">
        <v>1.2330647000000001E-3</v>
      </c>
      <c r="O89">
        <v>9.6979219999999994E-3</v>
      </c>
      <c r="P89">
        <v>9.1257775999999992E-3</v>
      </c>
      <c r="Q89">
        <v>6.9051459999999995E-2</v>
      </c>
      <c r="R89">
        <v>0.12938696999999999</v>
      </c>
      <c r="S89">
        <v>2.0078161000000001E-2</v>
      </c>
      <c r="T89">
        <v>2.5857405999999999E-2</v>
      </c>
      <c r="U89">
        <v>2.5422159999999999E-3</v>
      </c>
      <c r="V89" s="2">
        <v>2.1326221E-5</v>
      </c>
      <c r="W89">
        <v>0.12480824</v>
      </c>
      <c r="X89">
        <v>7.0739527999999996E-2</v>
      </c>
      <c r="Y89">
        <v>1.6163203000000001E-2</v>
      </c>
      <c r="Z89">
        <v>2.6865717999999999E-3</v>
      </c>
      <c r="AA89">
        <v>6.6972931999999999E-2</v>
      </c>
      <c r="AB89" s="2">
        <v>3.6787165999999999E-5</v>
      </c>
      <c r="AC89">
        <v>1.5008862E-2</v>
      </c>
      <c r="AD89">
        <v>1.1376882E-2</v>
      </c>
      <c r="AE89">
        <v>-1.5142981999999999E-3</v>
      </c>
    </row>
    <row r="90" spans="2:31" x14ac:dyDescent="0.25">
      <c r="B90">
        <v>1</v>
      </c>
      <c r="C90" t="s">
        <v>1043</v>
      </c>
      <c r="D90" t="s">
        <v>954</v>
      </c>
      <c r="E90" t="s">
        <v>42</v>
      </c>
      <c r="F90">
        <v>0.95474501000000001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0.14268512</v>
      </c>
      <c r="R90">
        <v>0.54649820999999998</v>
      </c>
      <c r="S90">
        <v>0</v>
      </c>
      <c r="T90">
        <v>0</v>
      </c>
      <c r="U90" s="2">
        <v>9.9201767000000006E-8</v>
      </c>
      <c r="V90">
        <v>0</v>
      </c>
      <c r="W90" s="2">
        <v>0.26556158000000002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2:31" x14ac:dyDescent="0.25">
      <c r="B91">
        <v>2</v>
      </c>
      <c r="C91" t="s">
        <v>1044</v>
      </c>
      <c r="D91" t="s">
        <v>954</v>
      </c>
      <c r="E91" t="s">
        <v>42</v>
      </c>
      <c r="F91">
        <v>0.94195947000000002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0.1025744</v>
      </c>
      <c r="R91">
        <v>0.45526573999999997</v>
      </c>
      <c r="S91">
        <v>0</v>
      </c>
      <c r="T91">
        <v>0</v>
      </c>
      <c r="U91" s="2">
        <v>8.2641014000000003E-8</v>
      </c>
      <c r="V91">
        <v>0</v>
      </c>
      <c r="W91">
        <v>0.38411923999999997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2:31" x14ac:dyDescent="0.25">
      <c r="B92">
        <v>3</v>
      </c>
      <c r="C92" t="s">
        <v>61</v>
      </c>
      <c r="D92" t="s">
        <v>955</v>
      </c>
      <c r="E92" t="s">
        <v>42</v>
      </c>
      <c r="F92">
        <v>0.23829823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0.16299648</v>
      </c>
      <c r="R92">
        <v>0</v>
      </c>
      <c r="S92">
        <v>0</v>
      </c>
      <c r="T92">
        <v>0</v>
      </c>
      <c r="U92" s="2">
        <v>0</v>
      </c>
      <c r="V92">
        <v>7.5301749000000001E-2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</row>
    <row r="93" spans="2:31" x14ac:dyDescent="0.25">
      <c r="B93">
        <v>4</v>
      </c>
      <c r="C93" t="s">
        <v>1030</v>
      </c>
      <c r="D93" t="s">
        <v>954</v>
      </c>
      <c r="E93" t="s">
        <v>42</v>
      </c>
      <c r="F93">
        <v>0.16469826000000001</v>
      </c>
      <c r="G93">
        <v>0</v>
      </c>
      <c r="H93">
        <v>0</v>
      </c>
      <c r="I93">
        <v>0.16469486999999999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 s="2">
        <v>3.3912480999999998E-6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</row>
    <row r="94" spans="2:31" x14ac:dyDescent="0.25">
      <c r="B94">
        <v>5</v>
      </c>
      <c r="C94" t="s">
        <v>1045</v>
      </c>
      <c r="D94" t="s">
        <v>954</v>
      </c>
      <c r="E94" t="s">
        <v>42</v>
      </c>
      <c r="F94">
        <v>9.4552375999999994E-2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1.1696839000000001E-2</v>
      </c>
      <c r="R94">
        <v>4.8659519999999998E-2</v>
      </c>
      <c r="S94">
        <v>0</v>
      </c>
      <c r="T94">
        <v>0</v>
      </c>
      <c r="U94" s="2">
        <v>8.8328019000000001E-9</v>
      </c>
      <c r="V94">
        <v>0</v>
      </c>
      <c r="W94">
        <v>3.4196007E-2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2:31" x14ac:dyDescent="0.25">
      <c r="B95">
        <v>6</v>
      </c>
      <c r="C95" t="s">
        <v>1046</v>
      </c>
      <c r="D95" t="s">
        <v>956</v>
      </c>
      <c r="E95" t="s">
        <v>42</v>
      </c>
      <c r="F95">
        <v>8.3851269000000006E-2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 s="2">
        <v>0</v>
      </c>
      <c r="V95">
        <v>0</v>
      </c>
      <c r="W95">
        <v>0</v>
      </c>
      <c r="X95">
        <v>8.3851269000000006E-2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</row>
    <row r="96" spans="2:31" x14ac:dyDescent="0.25">
      <c r="B96">
        <v>7</v>
      </c>
      <c r="C96" t="s">
        <v>67</v>
      </c>
      <c r="D96" t="s">
        <v>955</v>
      </c>
      <c r="E96" t="s">
        <v>42</v>
      </c>
      <c r="F96">
        <v>7.4167284999999999E-2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7.4167284999999999E-2</v>
      </c>
      <c r="R96">
        <v>0</v>
      </c>
      <c r="S96">
        <v>0</v>
      </c>
      <c r="T96">
        <v>0</v>
      </c>
      <c r="U96" s="2">
        <v>0</v>
      </c>
      <c r="V96">
        <v>0</v>
      </c>
      <c r="W96" s="2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2:31" x14ac:dyDescent="0.25">
      <c r="B97">
        <v>8</v>
      </c>
      <c r="C97" t="s">
        <v>1047</v>
      </c>
      <c r="D97" t="s">
        <v>954</v>
      </c>
      <c r="E97" t="s">
        <v>42</v>
      </c>
      <c r="F97">
        <v>6.7395735999999998E-2</v>
      </c>
      <c r="G97">
        <v>0</v>
      </c>
      <c r="H97">
        <v>0</v>
      </c>
      <c r="I97">
        <v>1.1032994000000001E-2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7.0078863999999998E-3</v>
      </c>
      <c r="R97">
        <v>2.8675276E-2</v>
      </c>
      <c r="S97">
        <v>0</v>
      </c>
      <c r="T97">
        <v>0</v>
      </c>
      <c r="U97" s="2">
        <v>5.2052101000000001E-9</v>
      </c>
      <c r="V97">
        <v>0</v>
      </c>
      <c r="W97">
        <v>2.0679573999999999E-2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2:31" x14ac:dyDescent="0.25">
      <c r="B98">
        <v>9</v>
      </c>
      <c r="C98" t="s">
        <v>1048</v>
      </c>
      <c r="D98" t="s">
        <v>954</v>
      </c>
      <c r="E98" t="s">
        <v>42</v>
      </c>
      <c r="F98">
        <v>6.3193049000000001E-2</v>
      </c>
      <c r="G98">
        <v>0</v>
      </c>
      <c r="H98">
        <v>0</v>
      </c>
      <c r="I98">
        <v>6.3690277999999996E-3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8.8854182E-3</v>
      </c>
      <c r="R98">
        <v>2.6752583E-2</v>
      </c>
      <c r="S98">
        <v>0</v>
      </c>
      <c r="T98">
        <v>0</v>
      </c>
      <c r="U98" s="2">
        <v>4.856198E-9</v>
      </c>
      <c r="V98">
        <v>0</v>
      </c>
      <c r="W98">
        <v>2.1186014999999999E-2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2:31" x14ac:dyDescent="0.25">
      <c r="B99">
        <v>10</v>
      </c>
      <c r="C99" t="s">
        <v>1049</v>
      </c>
      <c r="D99" t="s">
        <v>1050</v>
      </c>
      <c r="E99" t="s">
        <v>42</v>
      </c>
      <c r="F99">
        <v>6.2396945000000002E-2</v>
      </c>
      <c r="G99">
        <v>0</v>
      </c>
      <c r="H99" s="2">
        <v>2.3709106999999999E-22</v>
      </c>
      <c r="I99">
        <v>0</v>
      </c>
      <c r="J99" s="2">
        <v>1.3310555E-22</v>
      </c>
      <c r="K99" s="2">
        <v>6.9111873999999994E-24</v>
      </c>
      <c r="L99" s="2">
        <v>7.9812872000000001E-23</v>
      </c>
      <c r="M99" s="2">
        <v>6.1764902999999997E-23</v>
      </c>
      <c r="N99" s="2">
        <v>1.1869762E-23</v>
      </c>
      <c r="O99" s="2">
        <v>1.8454895000000001E-23</v>
      </c>
      <c r="P99">
        <v>0</v>
      </c>
      <c r="Q99" s="2">
        <v>1.2472679E-22</v>
      </c>
      <c r="R99" s="2">
        <v>9.7722753E-23</v>
      </c>
      <c r="S99" s="2">
        <v>5.5224730999999997E-23</v>
      </c>
      <c r="T99">
        <v>0</v>
      </c>
      <c r="U99" s="2">
        <v>1.3596727999999999E-24</v>
      </c>
      <c r="V99" s="2">
        <v>5.8090667999999998E-26</v>
      </c>
      <c r="W99" s="2">
        <v>1.3854684999999999E-23</v>
      </c>
      <c r="X99">
        <v>0</v>
      </c>
      <c r="Y99" s="2">
        <v>3.0758157999999998E-23</v>
      </c>
      <c r="Z99">
        <v>6.2396945000000002E-2</v>
      </c>
      <c r="AA99">
        <v>0</v>
      </c>
      <c r="AB99" s="2">
        <v>1.6869121000000001E-25</v>
      </c>
      <c r="AC99">
        <v>0</v>
      </c>
      <c r="AD99">
        <v>0</v>
      </c>
      <c r="AE99">
        <v>0</v>
      </c>
    </row>
    <row r="100" spans="2:31" x14ac:dyDescent="0.25">
      <c r="B100">
        <v>11</v>
      </c>
      <c r="C100" t="s">
        <v>34</v>
      </c>
      <c r="D100" t="s">
        <v>955</v>
      </c>
      <c r="E100" t="s">
        <v>42</v>
      </c>
      <c r="F100">
        <v>6.0402711999999997E-2</v>
      </c>
      <c r="G100">
        <v>0</v>
      </c>
      <c r="H100">
        <v>6.0402711999999997E-2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2:31" x14ac:dyDescent="0.25">
      <c r="B101">
        <v>12</v>
      </c>
      <c r="C101" t="s">
        <v>1051</v>
      </c>
      <c r="D101" t="s">
        <v>1050</v>
      </c>
      <c r="E101" t="s">
        <v>42</v>
      </c>
      <c r="F101">
        <v>5.6417878999999997E-2</v>
      </c>
      <c r="G101">
        <v>0</v>
      </c>
      <c r="H101" s="2">
        <v>1.6373409999999999E-12</v>
      </c>
      <c r="I101">
        <v>0</v>
      </c>
      <c r="J101" s="2">
        <v>8.5641110000000001E-13</v>
      </c>
      <c r="K101" s="2">
        <v>7.0756750999999999E-15</v>
      </c>
      <c r="L101" s="2">
        <v>5.5179884999999997E-13</v>
      </c>
      <c r="M101" s="2">
        <v>3.6972337E-13</v>
      </c>
      <c r="N101" s="2">
        <v>4.2025114000000003E-15</v>
      </c>
      <c r="O101" s="2">
        <v>1.2206914000000001E-13</v>
      </c>
      <c r="P101">
        <v>0</v>
      </c>
      <c r="Q101" s="2">
        <v>6.8330863E-13</v>
      </c>
      <c r="R101" s="2">
        <v>7.4051722000000003E-14</v>
      </c>
      <c r="S101">
        <v>5.6417877999999998E-2</v>
      </c>
      <c r="T101">
        <v>0</v>
      </c>
      <c r="U101" s="2">
        <v>1.2974426999999999E-15</v>
      </c>
      <c r="V101" s="2">
        <v>3.2695323999999998E-16</v>
      </c>
      <c r="W101" s="2">
        <v>1.0502211000000001E-14</v>
      </c>
      <c r="X101">
        <v>0</v>
      </c>
      <c r="Y101" s="2">
        <v>2.0344855999999999E-13</v>
      </c>
      <c r="Z101" s="2">
        <v>9.1638214999999995E-10</v>
      </c>
      <c r="AA101">
        <v>0</v>
      </c>
      <c r="AB101" s="2">
        <v>5.2387465000000002E-16</v>
      </c>
      <c r="AC101">
        <v>0</v>
      </c>
      <c r="AD101">
        <v>0</v>
      </c>
      <c r="AE101">
        <v>0</v>
      </c>
    </row>
    <row r="102" spans="2:31" x14ac:dyDescent="0.25">
      <c r="B102">
        <v>13</v>
      </c>
      <c r="C102" t="s">
        <v>63</v>
      </c>
      <c r="D102" t="s">
        <v>955</v>
      </c>
      <c r="E102" t="s">
        <v>42</v>
      </c>
      <c r="F102">
        <v>4.6387063999999999E-2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4.6387056000000003E-2</v>
      </c>
      <c r="S102">
        <v>0</v>
      </c>
      <c r="T102">
        <v>0</v>
      </c>
      <c r="U102" s="2">
        <v>8.4202981999999994E-9</v>
      </c>
      <c r="V102">
        <v>0</v>
      </c>
      <c r="W102" s="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</row>
    <row r="103" spans="2:31" x14ac:dyDescent="0.25">
      <c r="B103">
        <v>14</v>
      </c>
      <c r="C103" t="s">
        <v>1052</v>
      </c>
      <c r="D103" t="s">
        <v>954</v>
      </c>
      <c r="E103" t="s">
        <v>42</v>
      </c>
      <c r="F103">
        <v>3.5183025999999999E-2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5.2580470999999997E-3</v>
      </c>
      <c r="R103">
        <v>2.0138843999999999E-2</v>
      </c>
      <c r="S103">
        <v>0</v>
      </c>
      <c r="T103">
        <v>0</v>
      </c>
      <c r="U103" s="2">
        <v>3.6556549999999998E-9</v>
      </c>
      <c r="V103">
        <v>0</v>
      </c>
      <c r="W103">
        <v>9.7861311999999992E-3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</row>
    <row r="104" spans="2:31" x14ac:dyDescent="0.25">
      <c r="B104">
        <v>15</v>
      </c>
      <c r="C104" t="s">
        <v>1053</v>
      </c>
      <c r="D104" t="s">
        <v>957</v>
      </c>
      <c r="E104" t="s">
        <v>42</v>
      </c>
      <c r="F104">
        <v>-4.3240402999999997E-2</v>
      </c>
      <c r="G104">
        <v>0</v>
      </c>
      <c r="H104">
        <v>-1.7492083E-3</v>
      </c>
      <c r="I104">
        <v>0</v>
      </c>
      <c r="J104">
        <v>-5.0365586000000002E-3</v>
      </c>
      <c r="K104">
        <v>0</v>
      </c>
      <c r="L104">
        <v>-7.6376038E-3</v>
      </c>
      <c r="M104">
        <v>-2.7114631E-4</v>
      </c>
      <c r="N104">
        <v>0</v>
      </c>
      <c r="O104">
        <v>-3.8712532000000001E-4</v>
      </c>
      <c r="P104">
        <v>0</v>
      </c>
      <c r="Q104">
        <v>0</v>
      </c>
      <c r="R104">
        <v>0</v>
      </c>
      <c r="S104">
        <v>0</v>
      </c>
      <c r="T104">
        <v>0</v>
      </c>
      <c r="U104" s="2">
        <v>-1.4937941000000001E-7</v>
      </c>
      <c r="V104">
        <v>0</v>
      </c>
      <c r="W104">
        <v>0</v>
      </c>
      <c r="X104">
        <v>0</v>
      </c>
      <c r="Y104">
        <v>-6.4520886000000001E-4</v>
      </c>
      <c r="Z104">
        <v>0</v>
      </c>
      <c r="AA104" s="2">
        <v>-7.1702964000000003E-7</v>
      </c>
      <c r="AB104">
        <v>0</v>
      </c>
      <c r="AC104">
        <v>0</v>
      </c>
      <c r="AD104">
        <v>-2.7512090999999999E-2</v>
      </c>
      <c r="AE104" s="2">
        <v>-5.9457515999999999E-7</v>
      </c>
    </row>
    <row r="105" spans="2:31" x14ac:dyDescent="0.25">
      <c r="B105">
        <v>16</v>
      </c>
      <c r="C105" t="s">
        <v>1054</v>
      </c>
      <c r="D105" t="s">
        <v>957</v>
      </c>
      <c r="E105" t="s">
        <v>42</v>
      </c>
      <c r="F105">
        <v>-4.6577184000000001E-2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-4.6577184000000001E-2</v>
      </c>
      <c r="AE105">
        <v>0</v>
      </c>
    </row>
    <row r="106" spans="2:31" x14ac:dyDescent="0.25">
      <c r="B106">
        <v>17</v>
      </c>
      <c r="C106" t="s">
        <v>1055</v>
      </c>
      <c r="D106" t="s">
        <v>957</v>
      </c>
      <c r="E106" t="s">
        <v>42</v>
      </c>
      <c r="F106">
        <v>-6.2559606000000004E-2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-6.2559606000000004E-2</v>
      </c>
      <c r="AE106">
        <v>0</v>
      </c>
    </row>
    <row r="107" spans="2:31" x14ac:dyDescent="0.25">
      <c r="B107">
        <v>18</v>
      </c>
      <c r="C107" t="s">
        <v>1056</v>
      </c>
      <c r="D107" t="s">
        <v>957</v>
      </c>
      <c r="E107" t="s">
        <v>42</v>
      </c>
      <c r="F107">
        <v>-8.6732518999999994E-2</v>
      </c>
      <c r="G107">
        <v>0</v>
      </c>
      <c r="H107">
        <v>-6.3173865999999997E-3</v>
      </c>
      <c r="I107">
        <v>0</v>
      </c>
      <c r="J107">
        <v>-1.8185268000000001E-2</v>
      </c>
      <c r="K107">
        <v>0</v>
      </c>
      <c r="L107">
        <v>-2.7586175000000001E-2</v>
      </c>
      <c r="M107">
        <v>-9.7836808999999993E-4</v>
      </c>
      <c r="N107">
        <v>0</v>
      </c>
      <c r="O107">
        <v>-1.3981398999999999E-3</v>
      </c>
      <c r="P107">
        <v>0</v>
      </c>
      <c r="Q107">
        <v>0</v>
      </c>
      <c r="R107">
        <v>0</v>
      </c>
      <c r="S107">
        <v>0</v>
      </c>
      <c r="T107">
        <v>0</v>
      </c>
      <c r="U107" s="2">
        <v>-4.8267340000000001E-5</v>
      </c>
      <c r="V107">
        <v>0</v>
      </c>
      <c r="W107">
        <v>0</v>
      </c>
      <c r="X107">
        <v>0</v>
      </c>
      <c r="Y107">
        <v>-2.3302332000000002E-3</v>
      </c>
      <c r="Z107">
        <v>0</v>
      </c>
      <c r="AA107">
        <v>-2.3476049E-4</v>
      </c>
      <c r="AB107">
        <v>0</v>
      </c>
      <c r="AC107" s="2">
        <v>-5.6698532E-5</v>
      </c>
      <c r="AD107">
        <v>-2.9405102999999998E-2</v>
      </c>
      <c r="AE107">
        <v>-1.9211858000000001E-4</v>
      </c>
    </row>
    <row r="110" spans="2:31" x14ac:dyDescent="0.25">
      <c r="B110" t="s">
        <v>0</v>
      </c>
      <c r="C110" t="s">
        <v>945</v>
      </c>
    </row>
    <row r="111" spans="2:31" x14ac:dyDescent="0.25">
      <c r="B111" t="s">
        <v>2</v>
      </c>
      <c r="C111" t="s">
        <v>946</v>
      </c>
    </row>
    <row r="112" spans="2:31" x14ac:dyDescent="0.25">
      <c r="B112" t="s">
        <v>947</v>
      </c>
      <c r="C112" t="s">
        <v>1057</v>
      </c>
    </row>
    <row r="113" spans="2:25" x14ac:dyDescent="0.25">
      <c r="B113" t="s">
        <v>18</v>
      </c>
      <c r="C113" t="s">
        <v>19</v>
      </c>
    </row>
    <row r="114" spans="2:25" x14ac:dyDescent="0.25">
      <c r="B114" t="s">
        <v>20</v>
      </c>
      <c r="C114" t="s">
        <v>21</v>
      </c>
    </row>
    <row r="115" spans="2:25" x14ac:dyDescent="0.25">
      <c r="B115" t="s">
        <v>948</v>
      </c>
      <c r="C115" s="4">
        <v>0.01</v>
      </c>
    </row>
    <row r="116" spans="2:25" x14ac:dyDescent="0.25">
      <c r="B116" t="s">
        <v>24</v>
      </c>
      <c r="C116" t="s">
        <v>25</v>
      </c>
    </row>
    <row r="117" spans="2:25" x14ac:dyDescent="0.25">
      <c r="B117" t="s">
        <v>26</v>
      </c>
      <c r="C117" t="s">
        <v>25</v>
      </c>
    </row>
    <row r="118" spans="2:25" x14ac:dyDescent="0.25">
      <c r="B118" t="s">
        <v>27</v>
      </c>
      <c r="C118" t="s">
        <v>25</v>
      </c>
    </row>
    <row r="119" spans="2:25" x14ac:dyDescent="0.25">
      <c r="B119" t="s">
        <v>29</v>
      </c>
      <c r="C119" t="s">
        <v>41</v>
      </c>
    </row>
    <row r="120" spans="2:25" x14ac:dyDescent="0.25">
      <c r="B120" t="s">
        <v>31</v>
      </c>
      <c r="C120" t="s">
        <v>949</v>
      </c>
    </row>
    <row r="122" spans="2:25" x14ac:dyDescent="0.25">
      <c r="B122" t="s">
        <v>25</v>
      </c>
      <c r="C122" t="s">
        <v>950</v>
      </c>
      <c r="D122" t="s">
        <v>951</v>
      </c>
      <c r="E122" t="s">
        <v>33</v>
      </c>
      <c r="F122" t="s">
        <v>41</v>
      </c>
      <c r="G122" t="s">
        <v>1058</v>
      </c>
      <c r="H122" t="s">
        <v>34</v>
      </c>
      <c r="I122" t="s">
        <v>1030</v>
      </c>
      <c r="J122" t="s">
        <v>39</v>
      </c>
      <c r="K122" t="s">
        <v>40</v>
      </c>
      <c r="L122" t="s">
        <v>1059</v>
      </c>
      <c r="M122" t="s">
        <v>36</v>
      </c>
      <c r="N122" t="s">
        <v>1032</v>
      </c>
      <c r="O122" t="s">
        <v>38</v>
      </c>
      <c r="P122" t="s">
        <v>1033</v>
      </c>
      <c r="Q122" t="s">
        <v>67</v>
      </c>
      <c r="R122" t="s">
        <v>63</v>
      </c>
      <c r="S122" t="s">
        <v>1034</v>
      </c>
      <c r="T122" t="s">
        <v>1035</v>
      </c>
      <c r="U122" t="s">
        <v>66</v>
      </c>
      <c r="V122" t="s">
        <v>61</v>
      </c>
      <c r="W122" t="s">
        <v>65</v>
      </c>
      <c r="X122" t="s">
        <v>1036</v>
      </c>
      <c r="Y122" t="s">
        <v>1039</v>
      </c>
    </row>
    <row r="123" spans="2:25" x14ac:dyDescent="0.25">
      <c r="C123" t="s">
        <v>952</v>
      </c>
      <c r="E123" t="s">
        <v>42</v>
      </c>
      <c r="F123">
        <v>2.6728154000000002</v>
      </c>
      <c r="G123">
        <v>0</v>
      </c>
      <c r="H123">
        <v>7.7556087999999995E-2</v>
      </c>
      <c r="I123">
        <v>0.10458569</v>
      </c>
      <c r="J123">
        <v>2.1401208000000001E-2</v>
      </c>
      <c r="K123">
        <v>1.0407006E-2</v>
      </c>
      <c r="L123">
        <v>0.13243708000000001</v>
      </c>
      <c r="M123">
        <v>8.6940184000000004E-2</v>
      </c>
      <c r="N123">
        <v>0.15386417999999999</v>
      </c>
      <c r="O123">
        <v>8.2279707999999997E-3</v>
      </c>
      <c r="P123">
        <v>0.24461651000000001</v>
      </c>
      <c r="Q123">
        <v>0.55893398000000005</v>
      </c>
      <c r="R123">
        <v>0.61684797999999996</v>
      </c>
      <c r="S123">
        <v>0.15071561999999999</v>
      </c>
      <c r="T123">
        <v>5.0945318000000003E-2</v>
      </c>
      <c r="U123">
        <v>2.1839131E-3</v>
      </c>
      <c r="V123">
        <v>2.7677912999999998E-2</v>
      </c>
      <c r="W123">
        <v>0.31678495000000001</v>
      </c>
      <c r="X123">
        <v>0.10848583000000001</v>
      </c>
      <c r="Y123">
        <v>2.0401659000000001E-4</v>
      </c>
    </row>
    <row r="124" spans="2:25" x14ac:dyDescent="0.25">
      <c r="C124" t="s">
        <v>953</v>
      </c>
      <c r="E124" t="s">
        <v>42</v>
      </c>
      <c r="F124">
        <v>0.71560372000000005</v>
      </c>
      <c r="G124">
        <v>0</v>
      </c>
      <c r="H124">
        <v>2.3502783999999999E-2</v>
      </c>
      <c r="I124">
        <v>1.3614721999999999E-2</v>
      </c>
      <c r="J124">
        <v>3.8655914E-2</v>
      </c>
      <c r="K124">
        <v>2.2511545000000001E-2</v>
      </c>
      <c r="L124">
        <v>0.11722734999999999</v>
      </c>
      <c r="M124">
        <v>3.2784962000000001E-2</v>
      </c>
      <c r="N124">
        <v>4.9176404E-2</v>
      </c>
      <c r="O124">
        <v>9.6816014999999995E-3</v>
      </c>
      <c r="P124">
        <v>8.2253742000000005E-2</v>
      </c>
      <c r="Q124">
        <v>7.1080396000000004E-2</v>
      </c>
      <c r="R124">
        <v>9.2834300999999994E-2</v>
      </c>
      <c r="S124">
        <v>3.9542754999999999E-2</v>
      </c>
      <c r="T124">
        <v>2.1098328E-2</v>
      </c>
      <c r="U124">
        <v>2.2260004999999999E-3</v>
      </c>
      <c r="V124" s="2">
        <v>7.8363864999999998E-6</v>
      </c>
      <c r="W124">
        <v>4.9558842999999998E-2</v>
      </c>
      <c r="X124">
        <v>4.9642258000000002E-2</v>
      </c>
      <c r="Y124">
        <v>2.0397895999999999E-4</v>
      </c>
    </row>
    <row r="125" spans="2:25" x14ac:dyDescent="0.25">
      <c r="B125">
        <v>1</v>
      </c>
      <c r="C125" t="s">
        <v>1043</v>
      </c>
      <c r="D125" t="s">
        <v>954</v>
      </c>
      <c r="E125" t="s">
        <v>42</v>
      </c>
      <c r="F125">
        <v>0.49322877999999998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0.13648542</v>
      </c>
      <c r="R125">
        <v>0.25896111999999999</v>
      </c>
      <c r="S125">
        <v>0</v>
      </c>
      <c r="T125">
        <v>0</v>
      </c>
      <c r="U125" s="2">
        <v>8.6867276000000002E-8</v>
      </c>
      <c r="V125">
        <v>0</v>
      </c>
      <c r="W125">
        <v>9.7782147999999999E-2</v>
      </c>
      <c r="X125">
        <v>0</v>
      </c>
      <c r="Y125">
        <v>0</v>
      </c>
    </row>
    <row r="126" spans="2:25" x14ac:dyDescent="0.25">
      <c r="B126">
        <v>2</v>
      </c>
      <c r="C126" t="s">
        <v>1044</v>
      </c>
      <c r="D126" t="s">
        <v>954</v>
      </c>
      <c r="E126" t="s">
        <v>42</v>
      </c>
      <c r="F126">
        <v>0.45528385999999998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9.8117520999999999E-2</v>
      </c>
      <c r="R126">
        <v>0.21573012999999999</v>
      </c>
      <c r="S126">
        <v>0</v>
      </c>
      <c r="T126">
        <v>0</v>
      </c>
      <c r="U126" s="2">
        <v>7.2365644000000007E-8</v>
      </c>
      <c r="V126">
        <v>0</v>
      </c>
      <c r="W126">
        <v>0.14143613999999999</v>
      </c>
      <c r="X126">
        <v>0</v>
      </c>
      <c r="Y126">
        <v>0</v>
      </c>
    </row>
    <row r="127" spans="2:25" x14ac:dyDescent="0.25">
      <c r="B127">
        <v>3</v>
      </c>
      <c r="C127" t="s">
        <v>61</v>
      </c>
      <c r="D127" t="s">
        <v>955</v>
      </c>
      <c r="E127" t="s">
        <v>42</v>
      </c>
      <c r="F127">
        <v>0.18358432999999999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0.15591425</v>
      </c>
      <c r="R127">
        <v>0</v>
      </c>
      <c r="S127">
        <v>0</v>
      </c>
      <c r="T127">
        <v>0</v>
      </c>
      <c r="U127">
        <v>0</v>
      </c>
      <c r="V127">
        <v>2.7670075999999998E-2</v>
      </c>
      <c r="W127" s="2">
        <v>0</v>
      </c>
      <c r="X127">
        <v>0</v>
      </c>
      <c r="Y127">
        <v>0</v>
      </c>
    </row>
    <row r="128" spans="2:25" x14ac:dyDescent="0.25">
      <c r="B128">
        <v>4</v>
      </c>
      <c r="C128" t="s">
        <v>1060</v>
      </c>
      <c r="D128" t="s">
        <v>1050</v>
      </c>
      <c r="E128" t="s">
        <v>42</v>
      </c>
      <c r="F128">
        <v>0.14046545999999999</v>
      </c>
      <c r="G128">
        <v>0</v>
      </c>
      <c r="H128" s="2">
        <v>1.4955027999999999E-6</v>
      </c>
      <c r="I128">
        <v>0</v>
      </c>
      <c r="J128" s="2">
        <v>1.3593963E-6</v>
      </c>
      <c r="K128" s="2">
        <v>7.8275966999999997E-7</v>
      </c>
      <c r="L128" s="2">
        <v>9.1199457999999998E-6</v>
      </c>
      <c r="M128" s="2">
        <v>3.8955710000000003E-6</v>
      </c>
      <c r="N128">
        <v>0.14043230000000001</v>
      </c>
      <c r="O128" s="2">
        <v>2.0326194E-7</v>
      </c>
      <c r="P128">
        <v>0</v>
      </c>
      <c r="Q128" s="2">
        <v>2.4246109999999998E-7</v>
      </c>
      <c r="R128" s="2">
        <v>5.7361194000000002E-8</v>
      </c>
      <c r="S128" s="2">
        <v>1.5964437E-5</v>
      </c>
      <c r="T128">
        <v>0</v>
      </c>
      <c r="U128" s="2">
        <v>2.3463563999999998E-9</v>
      </c>
      <c r="V128" s="2">
        <v>4.1428558000000001E-11</v>
      </c>
      <c r="W128" s="2">
        <v>6.3240784000000003E-9</v>
      </c>
      <c r="X128">
        <v>0</v>
      </c>
      <c r="Y128" s="2">
        <v>3.6641083E-8</v>
      </c>
    </row>
    <row r="129" spans="2:25" x14ac:dyDescent="0.25">
      <c r="B129">
        <v>5</v>
      </c>
      <c r="C129" t="s">
        <v>1061</v>
      </c>
      <c r="D129" t="s">
        <v>956</v>
      </c>
      <c r="E129" t="s">
        <v>42</v>
      </c>
      <c r="F129">
        <v>0.11680424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0.11680424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2:25" x14ac:dyDescent="0.25">
      <c r="B130">
        <v>6</v>
      </c>
      <c r="C130" t="s">
        <v>1051</v>
      </c>
      <c r="D130" t="s">
        <v>1050</v>
      </c>
      <c r="E130" t="s">
        <v>42</v>
      </c>
      <c r="F130">
        <v>0.11115680999999999</v>
      </c>
      <c r="G130">
        <v>0</v>
      </c>
      <c r="H130" s="2">
        <v>1.6363189E-12</v>
      </c>
      <c r="I130">
        <v>0</v>
      </c>
      <c r="J130" s="2">
        <v>8.1265872000000002E-13</v>
      </c>
      <c r="K130" s="2">
        <v>8.6724337000000004E-13</v>
      </c>
      <c r="L130" s="2">
        <v>2.7919796999999998E-12</v>
      </c>
      <c r="M130" s="2">
        <v>1.8181199000000001E-12</v>
      </c>
      <c r="N130" s="2">
        <v>5.2439744000000002E-13</v>
      </c>
      <c r="O130" s="2">
        <v>1.2693351000000001E-13</v>
      </c>
      <c r="P130">
        <v>0</v>
      </c>
      <c r="Q130" s="2">
        <v>6.5361872000000002E-13</v>
      </c>
      <c r="R130" s="2">
        <v>3.5089807000000002E-14</v>
      </c>
      <c r="S130" s="2">
        <v>0.11115680999999999</v>
      </c>
      <c r="T130">
        <v>0</v>
      </c>
      <c r="U130" s="2">
        <v>1.136122E-15</v>
      </c>
      <c r="V130" s="2">
        <v>1.2014092E-16</v>
      </c>
      <c r="W130" s="2">
        <v>3.8670082E-15</v>
      </c>
      <c r="X130">
        <v>0</v>
      </c>
      <c r="Y130" s="2">
        <v>2.9053371000000001E-15</v>
      </c>
    </row>
    <row r="131" spans="2:25" x14ac:dyDescent="0.25">
      <c r="B131">
        <v>7</v>
      </c>
      <c r="C131" t="s">
        <v>1030</v>
      </c>
      <c r="D131" t="s">
        <v>954</v>
      </c>
      <c r="E131" t="s">
        <v>42</v>
      </c>
      <c r="F131">
        <v>8.2278612000000001E-2</v>
      </c>
      <c r="G131">
        <v>0</v>
      </c>
      <c r="H131">
        <v>0</v>
      </c>
      <c r="I131">
        <v>8.2277363000000006E-2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 s="2">
        <v>1.2486878999999999E-6</v>
      </c>
      <c r="X131">
        <v>0</v>
      </c>
      <c r="Y131">
        <v>0</v>
      </c>
    </row>
    <row r="132" spans="2:25" x14ac:dyDescent="0.25">
      <c r="B132">
        <v>8</v>
      </c>
      <c r="C132" t="s">
        <v>67</v>
      </c>
      <c r="D132" t="s">
        <v>955</v>
      </c>
      <c r="E132" t="s">
        <v>42</v>
      </c>
      <c r="F132">
        <v>7.0944699999999999E-2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7.0944699999999999E-2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2:25" x14ac:dyDescent="0.25">
      <c r="B133">
        <v>9</v>
      </c>
      <c r="C133" t="s">
        <v>34</v>
      </c>
      <c r="D133" t="s">
        <v>955</v>
      </c>
      <c r="E133" t="s">
        <v>42</v>
      </c>
      <c r="F133">
        <v>6.0365004999999999E-2</v>
      </c>
      <c r="G133">
        <v>0</v>
      </c>
      <c r="H133" s="2">
        <v>6.0365004999999999E-2</v>
      </c>
      <c r="I133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>
        <v>0</v>
      </c>
      <c r="Q133" s="2">
        <v>0</v>
      </c>
      <c r="R133" s="2">
        <v>0</v>
      </c>
      <c r="S133">
        <v>0</v>
      </c>
      <c r="T133">
        <v>0</v>
      </c>
      <c r="U133" s="2">
        <v>0</v>
      </c>
      <c r="V133" s="2">
        <v>0</v>
      </c>
      <c r="W133" s="2">
        <v>0</v>
      </c>
      <c r="X133">
        <v>0</v>
      </c>
      <c r="Y133" s="2">
        <v>0</v>
      </c>
    </row>
    <row r="134" spans="2:25" x14ac:dyDescent="0.25">
      <c r="B134">
        <v>10</v>
      </c>
      <c r="C134" t="s">
        <v>36</v>
      </c>
      <c r="D134" t="s">
        <v>955</v>
      </c>
      <c r="E134" t="s">
        <v>42</v>
      </c>
      <c r="F134">
        <v>5.8962107999999999E-2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5.8962107999999999E-2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 s="2">
        <v>0</v>
      </c>
      <c r="V134">
        <v>0</v>
      </c>
      <c r="W134">
        <v>0</v>
      </c>
      <c r="X134">
        <v>0</v>
      </c>
      <c r="Y134">
        <v>0</v>
      </c>
    </row>
    <row r="135" spans="2:25" x14ac:dyDescent="0.25">
      <c r="B135">
        <v>11</v>
      </c>
      <c r="C135" t="s">
        <v>1046</v>
      </c>
      <c r="D135" t="s">
        <v>956</v>
      </c>
      <c r="E135" t="s">
        <v>42</v>
      </c>
      <c r="F135">
        <v>5.8843569999999998E-2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 s="2">
        <v>0</v>
      </c>
      <c r="V135">
        <v>0</v>
      </c>
      <c r="W135" s="2">
        <v>0</v>
      </c>
      <c r="X135">
        <v>5.8843569999999998E-2</v>
      </c>
      <c r="Y135">
        <v>0</v>
      </c>
    </row>
    <row r="136" spans="2:25" x14ac:dyDescent="0.25">
      <c r="B136">
        <v>12</v>
      </c>
      <c r="C136" t="s">
        <v>1062</v>
      </c>
      <c r="D136" t="s">
        <v>1050</v>
      </c>
      <c r="E136" t="s">
        <v>42</v>
      </c>
      <c r="F136">
        <v>5.2093865000000003E-2</v>
      </c>
      <c r="G136">
        <v>0</v>
      </c>
      <c r="H136" s="2">
        <v>2.4699268999999998E-7</v>
      </c>
      <c r="I136">
        <v>0</v>
      </c>
      <c r="J136" s="2">
        <v>1.5237501E-7</v>
      </c>
      <c r="K136" s="2">
        <v>1.2934731000000001E-7</v>
      </c>
      <c r="L136">
        <v>1.5200612E-2</v>
      </c>
      <c r="M136" s="2">
        <v>3.5661858999999999E-7</v>
      </c>
      <c r="N136">
        <v>3.6892135E-2</v>
      </c>
      <c r="O136" s="2">
        <v>2.0808138000000001E-8</v>
      </c>
      <c r="P136">
        <v>0</v>
      </c>
      <c r="Q136" s="2">
        <v>1.0490818000000001E-7</v>
      </c>
      <c r="R136" s="2">
        <v>1.1949021E-8</v>
      </c>
      <c r="S136" s="2">
        <v>9.2627155000000006E-8</v>
      </c>
      <c r="T136">
        <v>0</v>
      </c>
      <c r="U136" s="2">
        <v>4.4158217999999998E-10</v>
      </c>
      <c r="V136" s="2">
        <v>1.8880841000000001E-11</v>
      </c>
      <c r="W136" s="2">
        <v>1.3171212000000001E-9</v>
      </c>
      <c r="X136">
        <v>0</v>
      </c>
      <c r="Y136" s="2">
        <v>9.8972462000000008E-10</v>
      </c>
    </row>
    <row r="137" spans="2:25" x14ac:dyDescent="0.25">
      <c r="B137">
        <v>13</v>
      </c>
      <c r="C137" t="s">
        <v>1045</v>
      </c>
      <c r="D137" t="s">
        <v>954</v>
      </c>
      <c r="E137" t="s">
        <v>42</v>
      </c>
      <c r="F137">
        <v>4.6837468E-2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1.1188609E-2</v>
      </c>
      <c r="R137">
        <v>2.3057576E-2</v>
      </c>
      <c r="S137">
        <v>0</v>
      </c>
      <c r="T137">
        <v>0</v>
      </c>
      <c r="U137" s="2">
        <v>7.7345541999999996E-9</v>
      </c>
      <c r="V137">
        <v>0</v>
      </c>
      <c r="W137">
        <v>1.2591276E-2</v>
      </c>
      <c r="X137">
        <v>0</v>
      </c>
      <c r="Y137">
        <v>0</v>
      </c>
    </row>
    <row r="138" spans="2:25" x14ac:dyDescent="0.25">
      <c r="B138">
        <v>14</v>
      </c>
      <c r="C138" t="s">
        <v>1063</v>
      </c>
      <c r="D138" t="s">
        <v>956</v>
      </c>
      <c r="E138" t="s">
        <v>42</v>
      </c>
      <c r="F138">
        <v>4.5558529E-2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4.5558529E-2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2:25" x14ac:dyDescent="0.25">
      <c r="B139">
        <v>15</v>
      </c>
      <c r="C139" t="s">
        <v>1047</v>
      </c>
      <c r="D139" t="s">
        <v>954</v>
      </c>
      <c r="E139" t="s">
        <v>42</v>
      </c>
      <c r="F139">
        <v>3.3417537999999997E-2</v>
      </c>
      <c r="G139">
        <v>0</v>
      </c>
      <c r="H139">
        <v>0</v>
      </c>
      <c r="I139">
        <v>5.5118029000000004E-3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6.7033921999999999E-3</v>
      </c>
      <c r="R139">
        <v>1.3587933999999999E-2</v>
      </c>
      <c r="S139">
        <v>0</v>
      </c>
      <c r="T139">
        <v>0</v>
      </c>
      <c r="U139" s="2">
        <v>4.5580078000000002E-9</v>
      </c>
      <c r="V139">
        <v>0</v>
      </c>
      <c r="W139">
        <v>7.6144041000000004E-3</v>
      </c>
      <c r="X139">
        <v>0</v>
      </c>
      <c r="Y139">
        <v>0</v>
      </c>
    </row>
    <row r="140" spans="2:25" x14ac:dyDescent="0.25">
      <c r="B140">
        <v>16</v>
      </c>
      <c r="C140" t="s">
        <v>1048</v>
      </c>
      <c r="D140" t="s">
        <v>954</v>
      </c>
      <c r="E140" t="s">
        <v>42</v>
      </c>
      <c r="F140">
        <v>3.2158889000000003E-2</v>
      </c>
      <c r="G140">
        <v>0</v>
      </c>
      <c r="H140">
        <v>0</v>
      </c>
      <c r="I140">
        <v>3.1818039999999999E-3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8.4993447999999992E-3</v>
      </c>
      <c r="R140">
        <v>1.2676856E-2</v>
      </c>
      <c r="S140">
        <v>0</v>
      </c>
      <c r="T140">
        <v>0</v>
      </c>
      <c r="U140" s="2">
        <v>4.2523909000000003E-9</v>
      </c>
      <c r="V140">
        <v>0</v>
      </c>
      <c r="W140">
        <v>7.8008803000000002E-3</v>
      </c>
      <c r="X140">
        <v>0</v>
      </c>
      <c r="Y140">
        <v>0</v>
      </c>
    </row>
    <row r="141" spans="2:25" x14ac:dyDescent="0.25">
      <c r="B141">
        <v>17</v>
      </c>
      <c r="C141" t="s">
        <v>40</v>
      </c>
      <c r="D141" t="s">
        <v>955</v>
      </c>
      <c r="E141" t="s">
        <v>42</v>
      </c>
      <c r="F141">
        <v>3.1250794999999998E-2</v>
      </c>
      <c r="G141">
        <v>0</v>
      </c>
      <c r="H141">
        <v>0</v>
      </c>
      <c r="I141">
        <v>0</v>
      </c>
      <c r="J141">
        <v>0</v>
      </c>
      <c r="K141">
        <v>3.1250794999999998E-2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2:25" x14ac:dyDescent="0.25">
      <c r="B142">
        <v>18</v>
      </c>
      <c r="C142" t="s">
        <v>1064</v>
      </c>
      <c r="D142" t="s">
        <v>957</v>
      </c>
      <c r="E142" t="s">
        <v>42</v>
      </c>
      <c r="F142">
        <v>2.9846989000000001E-2</v>
      </c>
      <c r="G142">
        <v>0</v>
      </c>
      <c r="H142" s="2">
        <v>0</v>
      </c>
      <c r="I142">
        <v>0</v>
      </c>
      <c r="J142" s="2">
        <v>0</v>
      </c>
      <c r="K142" s="2">
        <v>0</v>
      </c>
      <c r="L142">
        <v>0</v>
      </c>
      <c r="M142" s="2">
        <v>0</v>
      </c>
      <c r="N142">
        <v>0</v>
      </c>
      <c r="O142" s="2">
        <v>0</v>
      </c>
      <c r="P142">
        <v>0</v>
      </c>
      <c r="Q142" s="2">
        <v>0</v>
      </c>
      <c r="R142" s="2">
        <v>0</v>
      </c>
      <c r="S142" s="2">
        <v>0</v>
      </c>
      <c r="T142">
        <v>2.9846989000000001E-2</v>
      </c>
      <c r="U142" s="2">
        <v>0</v>
      </c>
      <c r="V142" s="2">
        <v>0</v>
      </c>
      <c r="W142" s="2">
        <v>0</v>
      </c>
      <c r="X142">
        <v>0</v>
      </c>
      <c r="Y142" s="2">
        <v>0</v>
      </c>
    </row>
    <row r="143" spans="2:25" x14ac:dyDescent="0.25">
      <c r="B143">
        <v>19</v>
      </c>
      <c r="C143" t="s">
        <v>1032</v>
      </c>
      <c r="D143" t="s">
        <v>1050</v>
      </c>
      <c r="E143" t="s">
        <v>42</v>
      </c>
      <c r="F143">
        <v>-7.2636655999999994E-2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-7.2636655999999994E-2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2:25" x14ac:dyDescent="0.25">
      <c r="B144">
        <v>20</v>
      </c>
      <c r="C144" t="s">
        <v>1056</v>
      </c>
      <c r="D144" t="s">
        <v>957</v>
      </c>
      <c r="E144" t="s">
        <v>42</v>
      </c>
      <c r="F144">
        <v>-7.3233166000000002E-2</v>
      </c>
      <c r="G144">
        <v>0</v>
      </c>
      <c r="H144">
        <v>-6.3134428000000001E-3</v>
      </c>
      <c r="I144">
        <v>0</v>
      </c>
      <c r="J144">
        <v>-1.7256217000000001E-2</v>
      </c>
      <c r="K144">
        <v>-4.3356246000000001E-2</v>
      </c>
      <c r="L144">
        <v>0</v>
      </c>
      <c r="M144">
        <v>-4.8111387999999998E-3</v>
      </c>
      <c r="N144">
        <v>0</v>
      </c>
      <c r="O144">
        <v>-1.4538549E-3</v>
      </c>
      <c r="P144">
        <v>0</v>
      </c>
      <c r="Q144">
        <v>0</v>
      </c>
      <c r="R144">
        <v>0</v>
      </c>
      <c r="S144">
        <v>0</v>
      </c>
      <c r="T144">
        <v>0</v>
      </c>
      <c r="U144" s="2">
        <v>-4.2265904000000002E-5</v>
      </c>
      <c r="V144">
        <v>0</v>
      </c>
      <c r="W144">
        <v>0</v>
      </c>
      <c r="X144">
        <v>0</v>
      </c>
      <c r="Y144"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A7960-67D9-41D0-98E6-11564618303A}">
  <dimension ref="A2:T49"/>
  <sheetViews>
    <sheetView workbookViewId="0">
      <selection activeCell="N26" sqref="N26"/>
    </sheetView>
  </sheetViews>
  <sheetFormatPr defaultRowHeight="15" x14ac:dyDescent="0.25"/>
  <cols>
    <col min="2" max="8" width="15.5703125" customWidth="1"/>
    <col min="9" max="9" width="8.7109375" customWidth="1"/>
    <col min="10" max="20" width="15.5703125" customWidth="1"/>
  </cols>
  <sheetData>
    <row r="2" spans="1:20" ht="46.5" customHeight="1" x14ac:dyDescent="0.25">
      <c r="B2" s="6" t="s">
        <v>959</v>
      </c>
      <c r="C2" s="7" t="s">
        <v>960</v>
      </c>
      <c r="D2" s="20" t="s">
        <v>961</v>
      </c>
      <c r="E2" s="20"/>
      <c r="F2" s="18" t="s">
        <v>1007</v>
      </c>
      <c r="G2" s="21" t="s">
        <v>962</v>
      </c>
      <c r="H2" s="21"/>
      <c r="J2" s="6" t="s">
        <v>963</v>
      </c>
      <c r="K2" s="20" t="s">
        <v>964</v>
      </c>
      <c r="L2" s="20"/>
      <c r="M2" s="7" t="s">
        <v>965</v>
      </c>
      <c r="N2" s="21" t="s">
        <v>966</v>
      </c>
      <c r="O2" s="21"/>
      <c r="P2" s="20" t="s">
        <v>961</v>
      </c>
      <c r="Q2" s="20"/>
      <c r="R2" s="18" t="s">
        <v>1007</v>
      </c>
      <c r="S2" s="19" t="s">
        <v>967</v>
      </c>
      <c r="T2" s="19"/>
    </row>
    <row r="3" spans="1:20" ht="45" x14ac:dyDescent="0.25">
      <c r="B3" s="8"/>
      <c r="C3" s="9"/>
      <c r="D3" s="9" t="s">
        <v>968</v>
      </c>
      <c r="E3" s="9" t="s">
        <v>969</v>
      </c>
      <c r="F3" s="9"/>
      <c r="G3" s="10" t="s">
        <v>970</v>
      </c>
      <c r="H3" s="10" t="s">
        <v>971</v>
      </c>
      <c r="J3" s="11"/>
      <c r="K3" s="9" t="s">
        <v>972</v>
      </c>
      <c r="L3" s="9" t="s">
        <v>973</v>
      </c>
      <c r="M3" s="9"/>
      <c r="N3" s="10" t="s">
        <v>972</v>
      </c>
      <c r="O3" s="10" t="s">
        <v>973</v>
      </c>
      <c r="P3" s="9" t="s">
        <v>968</v>
      </c>
      <c r="Q3" s="9" t="s">
        <v>969</v>
      </c>
      <c r="R3" s="9"/>
      <c r="S3" s="12" t="s">
        <v>970</v>
      </c>
      <c r="T3" s="12" t="s">
        <v>971</v>
      </c>
    </row>
    <row r="4" spans="1:20" x14ac:dyDescent="0.25">
      <c r="B4" s="13" t="s">
        <v>974</v>
      </c>
      <c r="C4" s="14">
        <v>2033179.0603487999</v>
      </c>
      <c r="D4" s="14">
        <v>492000</v>
      </c>
      <c r="E4" s="14">
        <v>580000</v>
      </c>
      <c r="F4" s="14">
        <f>VLOOKUP(B4,$K$27:$L$49,2,FALSE)</f>
        <v>2056000</v>
      </c>
      <c r="G4" s="14">
        <f>IF(C4&gt;D4,D4-C4,0)*-1</f>
        <v>1541179.0603487999</v>
      </c>
      <c r="H4" s="14">
        <f>IF(C4&gt;E4,E4-C4,0)*-1</f>
        <v>1453179.0603487999</v>
      </c>
      <c r="J4" s="13" t="s">
        <v>975</v>
      </c>
      <c r="K4" s="14">
        <v>1250402.5626177869</v>
      </c>
      <c r="L4" s="14">
        <v>1307650.203405</v>
      </c>
      <c r="M4" s="14">
        <v>2033179.0603487999</v>
      </c>
      <c r="N4" s="14">
        <f>IF(K4&gt;M4,M4-K4,0)*-1</f>
        <v>0</v>
      </c>
      <c r="O4" s="14">
        <f>IF(L4&gt;M4,M4-L4,0)*-1</f>
        <v>0</v>
      </c>
      <c r="P4" s="14">
        <v>492000</v>
      </c>
      <c r="Q4" s="14">
        <v>580000</v>
      </c>
      <c r="R4" s="14">
        <f>F4</f>
        <v>2056000</v>
      </c>
      <c r="S4" s="14">
        <f t="shared" ref="S4:S20" si="0">IF(L4&gt;P4,P4-L4,0)*-1</f>
        <v>815650.20340500004</v>
      </c>
      <c r="T4" s="14">
        <f t="shared" ref="T4:T20" si="1">IF(L4&gt;Q4,Q4-L4,0)*-1</f>
        <v>727650.20340500004</v>
      </c>
    </row>
    <row r="5" spans="1:20" x14ac:dyDescent="0.25">
      <c r="B5" s="13" t="s">
        <v>976</v>
      </c>
      <c r="C5" s="14">
        <v>358792.3730254501</v>
      </c>
      <c r="D5" s="14">
        <v>306899.99999999994</v>
      </c>
      <c r="E5" s="14">
        <v>342000</v>
      </c>
      <c r="F5" s="14">
        <f t="shared" ref="F5:F23" si="2">VLOOKUP(B5,$K$27:$L$49,2,FALSE)</f>
        <v>59000</v>
      </c>
      <c r="G5" s="14">
        <f t="shared" ref="G5:G23" si="3">IF(C5&gt;D5,D5-C5,0)*-1</f>
        <v>51892.373025450157</v>
      </c>
      <c r="H5" s="14">
        <f t="shared" ref="H5:H23" si="4">IF(C5&gt;E5,E5-C5,0)*-1</f>
        <v>16792.373025450099</v>
      </c>
      <c r="J5" s="13" t="s">
        <v>977</v>
      </c>
      <c r="K5" s="14">
        <v>297714.89586137782</v>
      </c>
      <c r="L5" s="14">
        <v>325286.12024999998</v>
      </c>
      <c r="M5" s="14">
        <v>358792.3730254501</v>
      </c>
      <c r="N5" s="14">
        <f t="shared" ref="N5:N20" si="5">IF(K5&gt;M5,M5-K5,0)*-1</f>
        <v>0</v>
      </c>
      <c r="O5" s="14">
        <f t="shared" ref="O5:O20" si="6">IF(L5&gt;M5,M5-L5,0)*-1</f>
        <v>0</v>
      </c>
      <c r="P5" s="14">
        <v>306899.99999999994</v>
      </c>
      <c r="Q5" s="14">
        <v>342000</v>
      </c>
      <c r="R5" s="14">
        <f t="shared" ref="R5:R20" si="7">F5</f>
        <v>59000</v>
      </c>
      <c r="S5" s="14">
        <f t="shared" si="0"/>
        <v>18386.120250000036</v>
      </c>
      <c r="T5" s="14">
        <f t="shared" si="1"/>
        <v>0</v>
      </c>
    </row>
    <row r="6" spans="1:20" x14ac:dyDescent="0.25">
      <c r="B6" s="13" t="s">
        <v>978</v>
      </c>
      <c r="C6" s="14">
        <v>249024.08158992001</v>
      </c>
      <c r="D6" s="14">
        <v>263999.99999999994</v>
      </c>
      <c r="E6" s="14">
        <v>392000</v>
      </c>
      <c r="F6" s="14">
        <f t="shared" si="2"/>
        <v>70000</v>
      </c>
      <c r="G6" s="14">
        <f t="shared" si="3"/>
        <v>0</v>
      </c>
      <c r="H6" s="14">
        <f t="shared" si="4"/>
        <v>0</v>
      </c>
      <c r="J6" s="13" t="s">
        <v>978</v>
      </c>
      <c r="K6" s="14">
        <v>1786289.3751682672</v>
      </c>
      <c r="L6" s="14">
        <v>1951716.7215</v>
      </c>
      <c r="M6" s="14">
        <v>249024.08158992001</v>
      </c>
      <c r="N6" s="14">
        <f t="shared" si="5"/>
        <v>1537265.2935783472</v>
      </c>
      <c r="O6" s="14">
        <f t="shared" si="6"/>
        <v>1702692.63991008</v>
      </c>
      <c r="P6" s="14">
        <v>263999.99999999994</v>
      </c>
      <c r="Q6" s="14">
        <v>392000</v>
      </c>
      <c r="R6" s="14">
        <f t="shared" si="7"/>
        <v>70000</v>
      </c>
      <c r="S6" s="14">
        <f t="shared" si="0"/>
        <v>1687716.7215</v>
      </c>
      <c r="T6" s="14">
        <f t="shared" si="1"/>
        <v>1559716.7215</v>
      </c>
    </row>
    <row r="7" spans="1:20" x14ac:dyDescent="0.25">
      <c r="B7" s="13" t="s">
        <v>979</v>
      </c>
      <c r="C7" s="14">
        <v>264132.32964299998</v>
      </c>
      <c r="D7" s="14">
        <v>189000</v>
      </c>
      <c r="E7" s="14">
        <v>5531400</v>
      </c>
      <c r="F7" s="14">
        <f t="shared" si="2"/>
        <v>138000</v>
      </c>
      <c r="G7" s="14">
        <f t="shared" si="3"/>
        <v>75132.329642999975</v>
      </c>
      <c r="H7" s="14">
        <f t="shared" si="4"/>
        <v>0</v>
      </c>
      <c r="J7" s="13" t="s">
        <v>980</v>
      </c>
      <c r="K7" s="14">
        <v>1190859.5834455115</v>
      </c>
      <c r="L7" s="14">
        <v>1301144.4809999999</v>
      </c>
      <c r="M7" s="14">
        <v>264132.32964299998</v>
      </c>
      <c r="N7" s="14">
        <f t="shared" si="5"/>
        <v>926727.25380251161</v>
      </c>
      <c r="O7" s="14">
        <f t="shared" si="6"/>
        <v>1037012.151357</v>
      </c>
      <c r="P7" s="14">
        <v>189000</v>
      </c>
      <c r="Q7" s="14">
        <v>5531400</v>
      </c>
      <c r="R7" s="14">
        <f t="shared" si="7"/>
        <v>138000</v>
      </c>
      <c r="S7" s="14">
        <f t="shared" si="0"/>
        <v>1112144.4809999999</v>
      </c>
      <c r="T7" s="14">
        <f t="shared" si="1"/>
        <v>0</v>
      </c>
    </row>
    <row r="8" spans="1:20" x14ac:dyDescent="0.25">
      <c r="B8" s="13" t="s">
        <v>981</v>
      </c>
      <c r="C8" s="14">
        <v>2851.8235199999999</v>
      </c>
      <c r="D8" s="14">
        <v>0</v>
      </c>
      <c r="E8" s="14">
        <v>0</v>
      </c>
      <c r="F8" s="14">
        <f t="shared" si="2"/>
        <v>6000</v>
      </c>
      <c r="G8" s="14">
        <f t="shared" si="3"/>
        <v>2851.8235199999999</v>
      </c>
      <c r="H8" s="14">
        <f t="shared" si="4"/>
        <v>2851.8235199999999</v>
      </c>
      <c r="J8" s="13" t="s">
        <v>982</v>
      </c>
      <c r="K8" s="14">
        <v>297714.89586137788</v>
      </c>
      <c r="L8" s="14">
        <v>325286.12024999998</v>
      </c>
      <c r="M8" s="14">
        <v>2851.8235199999999</v>
      </c>
      <c r="N8" s="14">
        <f t="shared" si="5"/>
        <v>294863.07234137791</v>
      </c>
      <c r="O8" s="14">
        <f t="shared" si="6"/>
        <v>322434.29673</v>
      </c>
      <c r="P8" s="14">
        <v>0</v>
      </c>
      <c r="Q8" s="14">
        <v>0</v>
      </c>
      <c r="R8" s="14">
        <f t="shared" si="7"/>
        <v>6000</v>
      </c>
      <c r="S8" s="14">
        <f t="shared" si="0"/>
        <v>325286.12024999998</v>
      </c>
      <c r="T8" s="14">
        <f t="shared" si="1"/>
        <v>325286.12024999998</v>
      </c>
    </row>
    <row r="9" spans="1:20" x14ac:dyDescent="0.25">
      <c r="B9" s="13" t="s">
        <v>983</v>
      </c>
      <c r="C9" s="14">
        <v>33366.335184000003</v>
      </c>
      <c r="D9" s="14">
        <v>6000</v>
      </c>
      <c r="E9" s="14">
        <v>15999.999999999998</v>
      </c>
      <c r="F9" s="14">
        <f t="shared" si="2"/>
        <v>27000</v>
      </c>
      <c r="G9" s="14">
        <f t="shared" si="3"/>
        <v>27366.335184000003</v>
      </c>
      <c r="H9" s="14">
        <f t="shared" si="4"/>
        <v>17366.335184000003</v>
      </c>
      <c r="J9" s="13" t="s">
        <v>984</v>
      </c>
      <c r="K9" s="14">
        <v>446572.34379206679</v>
      </c>
      <c r="L9" s="14">
        <v>487929.180375</v>
      </c>
      <c r="M9" s="14">
        <v>33366.335184000003</v>
      </c>
      <c r="N9" s="14">
        <f t="shared" si="5"/>
        <v>413206.00860806677</v>
      </c>
      <c r="O9" s="14">
        <f t="shared" si="6"/>
        <v>454562.84519099997</v>
      </c>
      <c r="P9" s="14">
        <v>6000</v>
      </c>
      <c r="Q9" s="14">
        <v>15999.999999999998</v>
      </c>
      <c r="R9" s="14">
        <f t="shared" si="7"/>
        <v>27000</v>
      </c>
      <c r="S9" s="14">
        <f t="shared" si="0"/>
        <v>481929.180375</v>
      </c>
      <c r="T9" s="14">
        <f t="shared" si="1"/>
        <v>471929.180375</v>
      </c>
    </row>
    <row r="10" spans="1:20" x14ac:dyDescent="0.25">
      <c r="B10" s="13" t="s">
        <v>985</v>
      </c>
      <c r="C10" s="14">
        <v>1697277.0270455999</v>
      </c>
      <c r="D10" s="14">
        <v>2016000</v>
      </c>
      <c r="E10" s="14">
        <v>2021000.0000000002</v>
      </c>
      <c r="F10" s="14">
        <f t="shared" si="2"/>
        <v>21000</v>
      </c>
      <c r="G10" s="14">
        <f t="shared" si="3"/>
        <v>0</v>
      </c>
      <c r="H10" s="14">
        <f t="shared" si="4"/>
        <v>0</v>
      </c>
      <c r="J10" s="13" t="s">
        <v>986</v>
      </c>
      <c r="K10" s="14">
        <v>1488574.4793068897</v>
      </c>
      <c r="L10" s="14">
        <v>1626430.6012500001</v>
      </c>
      <c r="M10" s="14">
        <v>1697277.0270455999</v>
      </c>
      <c r="N10" s="14">
        <f t="shared" si="5"/>
        <v>0</v>
      </c>
      <c r="O10" s="14">
        <f t="shared" si="6"/>
        <v>0</v>
      </c>
      <c r="P10" s="14">
        <v>2016000</v>
      </c>
      <c r="Q10" s="14">
        <v>2021000.0000000002</v>
      </c>
      <c r="R10" s="14">
        <f t="shared" si="7"/>
        <v>21000</v>
      </c>
      <c r="S10" s="14">
        <f t="shared" si="0"/>
        <v>0</v>
      </c>
      <c r="T10" s="14">
        <f t="shared" si="1"/>
        <v>0</v>
      </c>
    </row>
    <row r="11" spans="1:20" x14ac:dyDescent="0.25">
      <c r="A11" t="s">
        <v>1017</v>
      </c>
      <c r="B11" s="13" t="s">
        <v>987</v>
      </c>
      <c r="C11" s="14">
        <v>411334.29398460663</v>
      </c>
      <c r="D11" s="14">
        <v>464025.59999999998</v>
      </c>
      <c r="E11" s="14">
        <v>464025.59999999998</v>
      </c>
      <c r="F11" s="14">
        <f t="shared" si="2"/>
        <v>6000</v>
      </c>
      <c r="G11" s="14">
        <f t="shared" si="3"/>
        <v>0</v>
      </c>
      <c r="H11" s="14">
        <f t="shared" si="4"/>
        <v>0</v>
      </c>
      <c r="J11" s="13" t="s">
        <v>988</v>
      </c>
      <c r="K11" s="14">
        <v>178628.93751682673</v>
      </c>
      <c r="L11" s="14">
        <v>195171.67215</v>
      </c>
      <c r="M11" s="14">
        <v>411334.29398460663</v>
      </c>
      <c r="N11" s="14">
        <f t="shared" si="5"/>
        <v>0</v>
      </c>
      <c r="O11" s="14">
        <f t="shared" si="6"/>
        <v>0</v>
      </c>
      <c r="P11" s="14">
        <v>464025.59999999998</v>
      </c>
      <c r="Q11" s="14">
        <v>464025.59999999998</v>
      </c>
      <c r="R11" s="14">
        <f t="shared" si="7"/>
        <v>6000</v>
      </c>
      <c r="S11" s="14">
        <f t="shared" si="0"/>
        <v>0</v>
      </c>
      <c r="T11" s="14">
        <f t="shared" si="1"/>
        <v>0</v>
      </c>
    </row>
    <row r="12" spans="1:20" x14ac:dyDescent="0.25">
      <c r="B12" s="13" t="s">
        <v>989</v>
      </c>
      <c r="C12" s="14">
        <v>98715.871144799981</v>
      </c>
      <c r="D12" s="14">
        <v>494495.10999999958</v>
      </c>
      <c r="E12" s="14">
        <v>1923655.1099999994</v>
      </c>
      <c r="F12" s="14">
        <f t="shared" si="2"/>
        <v>236760</v>
      </c>
      <c r="G12" s="14">
        <f t="shared" si="3"/>
        <v>0</v>
      </c>
      <c r="H12" s="14">
        <f t="shared" si="4"/>
        <v>0</v>
      </c>
      <c r="J12" s="13" t="s">
        <v>990</v>
      </c>
      <c r="K12" s="14">
        <v>178628.93751682673</v>
      </c>
      <c r="L12" s="14">
        <v>195171.67215</v>
      </c>
      <c r="M12" s="14">
        <v>98715.871144799981</v>
      </c>
      <c r="N12" s="14">
        <f t="shared" si="5"/>
        <v>79913.066372026748</v>
      </c>
      <c r="O12" s="14">
        <f t="shared" si="6"/>
        <v>96455.801005200017</v>
      </c>
      <c r="P12" s="14">
        <v>494495.10999999958</v>
      </c>
      <c r="Q12" s="14">
        <v>1923655.1099999994</v>
      </c>
      <c r="R12" s="14">
        <f t="shared" si="7"/>
        <v>236760</v>
      </c>
      <c r="S12" s="14">
        <f t="shared" si="0"/>
        <v>0</v>
      </c>
      <c r="T12" s="14">
        <f t="shared" si="1"/>
        <v>0</v>
      </c>
    </row>
    <row r="13" spans="1:20" x14ac:dyDescent="0.25">
      <c r="B13" s="13" t="s">
        <v>991</v>
      </c>
      <c r="C13" s="14">
        <v>111221.11728000001</v>
      </c>
      <c r="D13" s="14">
        <v>111999.99999999999</v>
      </c>
      <c r="E13" s="14">
        <v>111999.99999999999</v>
      </c>
      <c r="F13" s="14">
        <f t="shared" si="2"/>
        <v>1000</v>
      </c>
      <c r="G13" s="14">
        <f t="shared" si="3"/>
        <v>0</v>
      </c>
      <c r="H13" s="14">
        <f t="shared" si="4"/>
        <v>0</v>
      </c>
      <c r="J13" s="13" t="s">
        <v>991</v>
      </c>
      <c r="K13" s="14">
        <v>89314.46875841335</v>
      </c>
      <c r="L13" s="14">
        <v>97585.836074999999</v>
      </c>
      <c r="M13" s="14">
        <v>111221.11728000001</v>
      </c>
      <c r="N13" s="14">
        <f t="shared" si="5"/>
        <v>0</v>
      </c>
      <c r="O13" s="14">
        <f t="shared" si="6"/>
        <v>0</v>
      </c>
      <c r="P13" s="14">
        <v>111999.99999999999</v>
      </c>
      <c r="Q13" s="14">
        <v>111999.99999999999</v>
      </c>
      <c r="R13" s="14">
        <f t="shared" si="7"/>
        <v>1000</v>
      </c>
      <c r="S13" s="14">
        <f t="shared" si="0"/>
        <v>0</v>
      </c>
      <c r="T13" s="14">
        <f t="shared" si="1"/>
        <v>0</v>
      </c>
    </row>
    <row r="14" spans="1:20" x14ac:dyDescent="0.25">
      <c r="A14" t="s">
        <v>1015</v>
      </c>
      <c r="B14" s="13" t="s">
        <v>987</v>
      </c>
      <c r="C14" s="14">
        <v>106216.25683484088</v>
      </c>
      <c r="D14" s="14">
        <v>119822.40000000002</v>
      </c>
      <c r="E14" s="14">
        <v>119822.40000000002</v>
      </c>
      <c r="F14" s="14">
        <f t="shared" si="2"/>
        <v>6000</v>
      </c>
      <c r="G14" s="14">
        <f t="shared" si="3"/>
        <v>0</v>
      </c>
      <c r="H14" s="14">
        <f t="shared" si="4"/>
        <v>0</v>
      </c>
      <c r="J14" s="13" t="s">
        <v>992</v>
      </c>
      <c r="K14" s="14">
        <v>35771.356109874738</v>
      </c>
      <c r="L14" s="14">
        <v>39084.123121875011</v>
      </c>
      <c r="M14" s="14">
        <v>106216.25683484088</v>
      </c>
      <c r="N14" s="14">
        <f t="shared" si="5"/>
        <v>0</v>
      </c>
      <c r="O14" s="14">
        <f t="shared" si="6"/>
        <v>0</v>
      </c>
      <c r="P14" s="14">
        <v>119822.40000000002</v>
      </c>
      <c r="Q14" s="14">
        <v>119822.40000000002</v>
      </c>
      <c r="R14" s="14">
        <f t="shared" si="7"/>
        <v>6000</v>
      </c>
      <c r="S14" s="14">
        <f t="shared" si="0"/>
        <v>0</v>
      </c>
      <c r="T14" s="14">
        <f t="shared" si="1"/>
        <v>0</v>
      </c>
    </row>
    <row r="15" spans="1:20" x14ac:dyDescent="0.25">
      <c r="A15" t="s">
        <v>1016</v>
      </c>
      <c r="B15" s="13" t="s">
        <v>987</v>
      </c>
      <c r="C15" s="14">
        <v>158986.11691839236</v>
      </c>
      <c r="D15" s="14">
        <v>179351.99999999997</v>
      </c>
      <c r="E15" s="14">
        <v>179351.99999999997</v>
      </c>
      <c r="F15" s="14">
        <f t="shared" si="2"/>
        <v>6000</v>
      </c>
      <c r="G15" s="14">
        <f t="shared" si="3"/>
        <v>0</v>
      </c>
      <c r="H15" s="14">
        <f t="shared" si="4"/>
        <v>0</v>
      </c>
      <c r="J15" s="13" t="s">
        <v>993</v>
      </c>
      <c r="K15" s="14">
        <v>53543.112648538612</v>
      </c>
      <c r="L15" s="14">
        <v>58501.712953124996</v>
      </c>
      <c r="M15" s="14">
        <v>158986.11691839236</v>
      </c>
      <c r="N15" s="14">
        <f t="shared" si="5"/>
        <v>0</v>
      </c>
      <c r="O15" s="14">
        <f t="shared" si="6"/>
        <v>0</v>
      </c>
      <c r="P15" s="14">
        <v>179351.99999999997</v>
      </c>
      <c r="Q15" s="14">
        <v>179351.99999999997</v>
      </c>
      <c r="R15" s="14">
        <f t="shared" si="7"/>
        <v>6000</v>
      </c>
      <c r="S15" s="14">
        <f t="shared" si="0"/>
        <v>0</v>
      </c>
      <c r="T15" s="14">
        <f t="shared" si="1"/>
        <v>0</v>
      </c>
    </row>
    <row r="16" spans="1:20" x14ac:dyDescent="0.25">
      <c r="B16" s="13" t="s">
        <v>994</v>
      </c>
      <c r="C16" s="14">
        <v>370202.34069000004</v>
      </c>
      <c r="D16" s="14">
        <v>202000</v>
      </c>
      <c r="E16" s="14">
        <v>391000</v>
      </c>
      <c r="F16" s="14">
        <f t="shared" si="2"/>
        <v>199000</v>
      </c>
      <c r="G16" s="14">
        <f t="shared" si="3"/>
        <v>168202.34069000004</v>
      </c>
      <c r="H16" s="14">
        <f t="shared" si="4"/>
        <v>0</v>
      </c>
      <c r="J16" s="13" t="s">
        <v>995</v>
      </c>
      <c r="K16" s="14">
        <v>238171.91668910231</v>
      </c>
      <c r="L16" s="14">
        <v>260228.89619999999</v>
      </c>
      <c r="M16" s="14">
        <v>370202.34069000004</v>
      </c>
      <c r="N16" s="14">
        <f t="shared" si="5"/>
        <v>0</v>
      </c>
      <c r="O16" s="14">
        <f t="shared" si="6"/>
        <v>0</v>
      </c>
      <c r="P16" s="14">
        <v>202000</v>
      </c>
      <c r="Q16" s="14">
        <v>391000</v>
      </c>
      <c r="R16" s="14">
        <f t="shared" si="7"/>
        <v>199000</v>
      </c>
      <c r="S16" s="14">
        <f t="shared" si="0"/>
        <v>58228.896199999988</v>
      </c>
      <c r="T16" s="14">
        <f t="shared" si="1"/>
        <v>0</v>
      </c>
    </row>
    <row r="17" spans="2:20" x14ac:dyDescent="0.25">
      <c r="B17" s="13" t="s">
        <v>996</v>
      </c>
      <c r="C17" s="14">
        <v>26008.630502399999</v>
      </c>
      <c r="D17" s="14">
        <v>1901000.0000000002</v>
      </c>
      <c r="E17" s="14">
        <v>1901000.0000000002</v>
      </c>
      <c r="F17" s="14">
        <f t="shared" si="2"/>
        <v>21000</v>
      </c>
      <c r="G17" s="14">
        <f t="shared" si="3"/>
        <v>0</v>
      </c>
      <c r="H17" s="14">
        <f t="shared" si="4"/>
        <v>0</v>
      </c>
      <c r="J17" s="13" t="s">
        <v>997</v>
      </c>
      <c r="K17" s="14">
        <v>35725.78750336534</v>
      </c>
      <c r="L17" s="14">
        <v>0</v>
      </c>
      <c r="M17" s="14">
        <v>26008.630502399999</v>
      </c>
      <c r="N17" s="14">
        <f t="shared" si="5"/>
        <v>9717.1570009653406</v>
      </c>
      <c r="O17" s="14">
        <f t="shared" si="6"/>
        <v>0</v>
      </c>
      <c r="P17" s="14">
        <v>1901000.0000000002</v>
      </c>
      <c r="Q17" s="14">
        <v>1901000.0000000002</v>
      </c>
      <c r="R17" s="14">
        <f t="shared" si="7"/>
        <v>21000</v>
      </c>
      <c r="S17" s="14">
        <f t="shared" si="0"/>
        <v>0</v>
      </c>
      <c r="T17" s="14">
        <f t="shared" si="1"/>
        <v>0</v>
      </c>
    </row>
    <row r="18" spans="2:20" x14ac:dyDescent="0.25">
      <c r="B18" s="13" t="s">
        <v>998</v>
      </c>
      <c r="C18" s="14">
        <v>40638.485159999997</v>
      </c>
      <c r="D18" s="14">
        <v>65999.999999999985</v>
      </c>
      <c r="E18" s="14">
        <v>77000</v>
      </c>
      <c r="F18" s="14">
        <f t="shared" si="2"/>
        <v>9000</v>
      </c>
      <c r="G18" s="14">
        <f t="shared" si="3"/>
        <v>0</v>
      </c>
      <c r="H18" s="14">
        <f t="shared" si="4"/>
        <v>0</v>
      </c>
      <c r="J18" s="13" t="s">
        <v>999</v>
      </c>
      <c r="K18" s="14">
        <v>0</v>
      </c>
      <c r="L18" s="14">
        <v>0</v>
      </c>
      <c r="M18" s="14">
        <v>40638.485159999997</v>
      </c>
      <c r="N18" s="14">
        <f t="shared" si="5"/>
        <v>0</v>
      </c>
      <c r="O18" s="14">
        <f t="shared" si="6"/>
        <v>0</v>
      </c>
      <c r="P18" s="14">
        <v>65999.999999999985</v>
      </c>
      <c r="Q18" s="14">
        <v>77000</v>
      </c>
      <c r="R18" s="14">
        <f t="shared" si="7"/>
        <v>9000</v>
      </c>
      <c r="S18" s="14">
        <f t="shared" si="0"/>
        <v>0</v>
      </c>
      <c r="T18" s="14">
        <f t="shared" si="1"/>
        <v>0</v>
      </c>
    </row>
    <row r="19" spans="2:20" x14ac:dyDescent="0.25">
      <c r="B19" s="13" t="s">
        <v>1000</v>
      </c>
      <c r="C19" s="14">
        <v>1398997.6755299999</v>
      </c>
      <c r="D19" s="14">
        <v>1432000</v>
      </c>
      <c r="E19" s="14">
        <v>1478000</v>
      </c>
      <c r="F19" s="14">
        <f t="shared" si="2"/>
        <v>171000</v>
      </c>
      <c r="G19" s="14">
        <f t="shared" si="3"/>
        <v>0</v>
      </c>
      <c r="H19" s="14">
        <f t="shared" si="4"/>
        <v>0</v>
      </c>
      <c r="J19" s="13" t="s">
        <v>1001</v>
      </c>
      <c r="K19" s="14">
        <v>178628.93751682673</v>
      </c>
      <c r="L19" s="14">
        <v>0</v>
      </c>
      <c r="M19" s="14">
        <v>1398997.6755299999</v>
      </c>
      <c r="N19" s="14">
        <f t="shared" si="5"/>
        <v>0</v>
      </c>
      <c r="O19" s="14">
        <f t="shared" si="6"/>
        <v>0</v>
      </c>
      <c r="P19" s="14">
        <v>1432000</v>
      </c>
      <c r="Q19" s="14">
        <v>1478000</v>
      </c>
      <c r="R19" s="14">
        <f t="shared" si="7"/>
        <v>171000</v>
      </c>
      <c r="S19" s="14">
        <f t="shared" si="0"/>
        <v>0</v>
      </c>
      <c r="T19" s="14">
        <f t="shared" si="1"/>
        <v>0</v>
      </c>
    </row>
    <row r="20" spans="2:20" x14ac:dyDescent="0.25">
      <c r="B20" s="13" t="s">
        <v>1002</v>
      </c>
      <c r="C20" s="14">
        <v>5881.8860099999993</v>
      </c>
      <c r="D20" s="14">
        <v>999.99999999999989</v>
      </c>
      <c r="E20" s="14">
        <v>5000</v>
      </c>
      <c r="F20" s="14">
        <f t="shared" si="2"/>
        <v>3000</v>
      </c>
      <c r="G20" s="14">
        <f t="shared" si="3"/>
        <v>4881.8860099999993</v>
      </c>
      <c r="H20" s="14">
        <f t="shared" si="4"/>
        <v>881.88600999999926</v>
      </c>
      <c r="J20" s="13" t="s">
        <v>1003</v>
      </c>
      <c r="K20" s="14">
        <v>32528.612024999999</v>
      </c>
      <c r="L20" s="14">
        <v>32528.612024999999</v>
      </c>
      <c r="M20" s="14">
        <v>5881.8860099999993</v>
      </c>
      <c r="N20" s="14">
        <f t="shared" si="5"/>
        <v>26646.726015</v>
      </c>
      <c r="O20" s="14">
        <f t="shared" si="6"/>
        <v>26646.726015</v>
      </c>
      <c r="P20" s="14">
        <v>999.99999999999989</v>
      </c>
      <c r="Q20" s="14">
        <v>5000</v>
      </c>
      <c r="R20" s="14">
        <f t="shared" si="7"/>
        <v>3000</v>
      </c>
      <c r="S20" s="14">
        <f t="shared" si="0"/>
        <v>31528.612024999999</v>
      </c>
      <c r="T20" s="14">
        <f t="shared" si="1"/>
        <v>27528.612024999999</v>
      </c>
    </row>
    <row r="21" spans="2:20" x14ac:dyDescent="0.25">
      <c r="B21" s="13" t="s">
        <v>1004</v>
      </c>
      <c r="C21" s="14">
        <v>733096.88361000002</v>
      </c>
      <c r="D21" s="14">
        <v>672000</v>
      </c>
      <c r="E21" s="14">
        <v>683000</v>
      </c>
      <c r="F21" s="14">
        <f t="shared" si="2"/>
        <v>70000</v>
      </c>
      <c r="G21" s="14">
        <f t="shared" si="3"/>
        <v>61096.883610000019</v>
      </c>
      <c r="H21" s="14">
        <f t="shared" si="4"/>
        <v>50096.883610000019</v>
      </c>
      <c r="J21" s="15" t="s">
        <v>41</v>
      </c>
      <c r="K21" s="16">
        <f>SUM(K4:K20)</f>
        <v>7779070.2023380538</v>
      </c>
      <c r="L21" s="16">
        <f>SUM(L4:L20)</f>
        <v>8203715.9527050005</v>
      </c>
      <c r="M21" s="16">
        <f t="shared" ref="M21:T21" si="8">SUM(M4:M20)</f>
        <v>7366825.7044118093</v>
      </c>
      <c r="N21" s="16">
        <f t="shared" si="8"/>
        <v>3288338.5777182961</v>
      </c>
      <c r="O21" s="16">
        <f t="shared" si="8"/>
        <v>3639804.4602082805</v>
      </c>
      <c r="P21" s="16">
        <f t="shared" si="8"/>
        <v>8245595.1100000003</v>
      </c>
      <c r="Q21" s="16">
        <f t="shared" si="8"/>
        <v>15533255.109999999</v>
      </c>
      <c r="R21" s="16">
        <f t="shared" si="8"/>
        <v>3035760</v>
      </c>
      <c r="S21" s="16">
        <f t="shared" si="8"/>
        <v>4530870.3350050002</v>
      </c>
      <c r="T21" s="16">
        <f t="shared" si="8"/>
        <v>3112110.8375550006</v>
      </c>
    </row>
    <row r="22" spans="2:20" x14ac:dyDescent="0.25">
      <c r="B22" s="13" t="s">
        <v>1005</v>
      </c>
      <c r="C22" s="14">
        <v>33687.165330000003</v>
      </c>
      <c r="D22" s="14">
        <v>0</v>
      </c>
      <c r="E22" s="14">
        <v>0</v>
      </c>
      <c r="F22" s="14"/>
      <c r="G22" s="14">
        <f t="shared" si="3"/>
        <v>33687.165330000003</v>
      </c>
      <c r="H22" s="14">
        <f t="shared" si="4"/>
        <v>33687.165330000003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</row>
    <row r="23" spans="2:20" x14ac:dyDescent="0.25">
      <c r="B23" s="13" t="s">
        <v>1006</v>
      </c>
      <c r="C23" s="14">
        <v>55680.071838300006</v>
      </c>
      <c r="D23" s="14">
        <v>59999.999999999993</v>
      </c>
      <c r="E23" s="14">
        <v>59999.999999999993</v>
      </c>
      <c r="F23" s="14">
        <f t="shared" si="2"/>
        <v>3000</v>
      </c>
      <c r="G23" s="14">
        <f t="shared" si="3"/>
        <v>0</v>
      </c>
      <c r="H23" s="14">
        <f t="shared" si="4"/>
        <v>0</v>
      </c>
      <c r="L23" s="14"/>
      <c r="M23" s="14"/>
      <c r="N23" s="14"/>
      <c r="O23" s="14"/>
      <c r="P23" s="14"/>
      <c r="Q23" s="14"/>
      <c r="R23" s="14"/>
      <c r="S23" s="14"/>
      <c r="T23" s="14"/>
    </row>
    <row r="24" spans="2:20" x14ac:dyDescent="0.25">
      <c r="B24" s="15" t="s">
        <v>41</v>
      </c>
      <c r="C24" s="17">
        <f>SUM(C4:C23)</f>
        <v>8189289.8251901092</v>
      </c>
      <c r="D24" s="17">
        <f t="shared" ref="D24:H24" si="9">SUM(D4:D23)</f>
        <v>8977595.1099999994</v>
      </c>
      <c r="E24" s="17">
        <f t="shared" si="9"/>
        <v>16276255.109999999</v>
      </c>
      <c r="F24" s="17">
        <f t="shared" si="9"/>
        <v>3108760</v>
      </c>
      <c r="G24" s="16">
        <f t="shared" si="9"/>
        <v>1966290.1973612502</v>
      </c>
      <c r="H24" s="16">
        <f t="shared" si="9"/>
        <v>1574855.5270282503</v>
      </c>
    </row>
    <row r="26" spans="2:20" x14ac:dyDescent="0.25">
      <c r="L26" t="s">
        <v>1014</v>
      </c>
    </row>
    <row r="27" spans="2:20" x14ac:dyDescent="0.25">
      <c r="K27" t="s">
        <v>1004</v>
      </c>
      <c r="L27">
        <v>70000</v>
      </c>
    </row>
    <row r="28" spans="2:20" x14ac:dyDescent="0.25">
      <c r="K28" t="s">
        <v>998</v>
      </c>
      <c r="L28">
        <v>9000</v>
      </c>
    </row>
    <row r="29" spans="2:20" x14ac:dyDescent="0.25">
      <c r="K29" t="s">
        <v>1008</v>
      </c>
      <c r="L29">
        <v>0</v>
      </c>
    </row>
    <row r="30" spans="2:20" x14ac:dyDescent="0.25">
      <c r="K30" t="s">
        <v>1009</v>
      </c>
      <c r="L30">
        <v>60</v>
      </c>
    </row>
    <row r="31" spans="2:20" x14ac:dyDescent="0.25">
      <c r="K31" t="s">
        <v>974</v>
      </c>
      <c r="L31">
        <v>2056000</v>
      </c>
    </row>
    <row r="32" spans="2:20" x14ac:dyDescent="0.25">
      <c r="K32" t="s">
        <v>991</v>
      </c>
      <c r="L32">
        <v>1000</v>
      </c>
    </row>
    <row r="33" spans="11:12" x14ac:dyDescent="0.25">
      <c r="K33" t="s">
        <v>989</v>
      </c>
      <c r="L33">
        <v>236760</v>
      </c>
    </row>
    <row r="34" spans="11:12" x14ac:dyDescent="0.25">
      <c r="K34" t="s">
        <v>979</v>
      </c>
      <c r="L34">
        <v>138000</v>
      </c>
    </row>
    <row r="35" spans="11:12" x14ac:dyDescent="0.25">
      <c r="K35" t="s">
        <v>1010</v>
      </c>
      <c r="L35">
        <v>0</v>
      </c>
    </row>
    <row r="36" spans="11:12" x14ac:dyDescent="0.25">
      <c r="K36" t="s">
        <v>987</v>
      </c>
      <c r="L36">
        <v>6000</v>
      </c>
    </row>
    <row r="37" spans="11:12" x14ac:dyDescent="0.25">
      <c r="K37" t="s">
        <v>985</v>
      </c>
      <c r="L37">
        <v>21000</v>
      </c>
    </row>
    <row r="38" spans="11:12" x14ac:dyDescent="0.25">
      <c r="K38" t="s">
        <v>1011</v>
      </c>
      <c r="L38">
        <v>37000</v>
      </c>
    </row>
    <row r="39" spans="11:12" x14ac:dyDescent="0.25">
      <c r="K39" t="s">
        <v>1006</v>
      </c>
      <c r="L39">
        <v>3000</v>
      </c>
    </row>
    <row r="40" spans="11:12" x14ac:dyDescent="0.25">
      <c r="K40" t="s">
        <v>996</v>
      </c>
      <c r="L40">
        <v>21000</v>
      </c>
    </row>
    <row r="41" spans="11:12" x14ac:dyDescent="0.25">
      <c r="K41" t="s">
        <v>983</v>
      </c>
      <c r="L41">
        <v>27000</v>
      </c>
    </row>
    <row r="42" spans="11:12" x14ac:dyDescent="0.25">
      <c r="K42" t="s">
        <v>1002</v>
      </c>
      <c r="L42">
        <v>3000</v>
      </c>
    </row>
    <row r="43" spans="11:12" x14ac:dyDescent="0.25">
      <c r="K43" t="s">
        <v>976</v>
      </c>
      <c r="L43">
        <v>59000</v>
      </c>
    </row>
    <row r="44" spans="11:12" x14ac:dyDescent="0.25">
      <c r="K44" t="s">
        <v>1012</v>
      </c>
      <c r="L44">
        <v>10000</v>
      </c>
    </row>
    <row r="45" spans="11:12" x14ac:dyDescent="0.25">
      <c r="K45" t="s">
        <v>1000</v>
      </c>
      <c r="L45">
        <v>171000</v>
      </c>
    </row>
    <row r="46" spans="11:12" x14ac:dyDescent="0.25">
      <c r="K46" t="s">
        <v>1013</v>
      </c>
      <c r="L46">
        <v>0</v>
      </c>
    </row>
    <row r="47" spans="11:12" x14ac:dyDescent="0.25">
      <c r="K47" t="s">
        <v>981</v>
      </c>
      <c r="L47">
        <v>6000</v>
      </c>
    </row>
    <row r="48" spans="11:12" x14ac:dyDescent="0.25">
      <c r="K48" t="s">
        <v>994</v>
      </c>
      <c r="L48">
        <v>199000</v>
      </c>
    </row>
    <row r="49" spans="11:12" x14ac:dyDescent="0.25">
      <c r="K49" t="s">
        <v>978</v>
      </c>
      <c r="L49">
        <v>70000</v>
      </c>
    </row>
  </sheetData>
  <mergeCells count="6">
    <mergeCell ref="S2:T2"/>
    <mergeCell ref="D2:E2"/>
    <mergeCell ref="G2:H2"/>
    <mergeCell ref="K2:L2"/>
    <mergeCell ref="N2:O2"/>
    <mergeCell ref="P2: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ESPAC</vt:lpstr>
      <vt:lpstr>regional differences</vt:lpstr>
      <vt:lpstr>comparisons</vt:lpstr>
      <vt:lpstr>individual tropical crops</vt:lpstr>
      <vt:lpstr>uncertainty</vt:lpstr>
      <vt:lpstr>diets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Avadi, Angel</dc:creator>
  <cp:lastModifiedBy>Avadi, Angel</cp:lastModifiedBy>
  <dcterms:created xsi:type="dcterms:W3CDTF">2015-06-05T18:17:20Z</dcterms:created>
  <dcterms:modified xsi:type="dcterms:W3CDTF">2026-05-21T09:18:18Z</dcterms:modified>
</cp:coreProperties>
</file>